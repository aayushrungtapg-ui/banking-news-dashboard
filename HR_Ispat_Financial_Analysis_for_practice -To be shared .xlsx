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codeName="ThisWorkbook" defaultThemeVersion="124226"/>
  <xr:revisionPtr revIDLastSave="1" documentId="8_{5818722E-31C3-4169-A5C8-5B44A53A06DA}" xr6:coauthVersionLast="47" xr6:coauthVersionMax="47" xr10:uidLastSave="{DCCADC5C-AC57-4E67-BCE6-FA0B98298504}"/>
  <bookViews>
    <workbookView xWindow="-120" yWindow="-120" windowWidth="29040" windowHeight="17520" xr2:uid="{00000000-000D-0000-FFFF-FFFF00000000}"/>
  </bookViews>
  <sheets>
    <sheet name="Data Input" sheetId="1" r:id="rId1"/>
    <sheet name="Sheet3" sheetId="14" r:id="rId2"/>
    <sheet name="MPBF" sheetId="3" r:id="rId3"/>
    <sheet name="BSA" sheetId="2" r:id="rId4"/>
    <sheet name="7A" sheetId="4" r:id="rId5"/>
    <sheet name="COP-MOF" sheetId="9" r:id="rId6"/>
    <sheet name="DSCR &amp; IRR" sheetId="5" r:id="rId7"/>
    <sheet name="BEP" sheetId="7" r:id="rId8"/>
    <sheet name="Sensitivity" sheetId="8" r:id="rId9"/>
    <sheet name="Tax Calulator - Ref" sheetId="11" r:id="rId10"/>
    <sheet name="Sheet1" sheetId="12" r:id="rId11"/>
    <sheet name="Sheet2" sheetId="13" r:id="rId12"/>
  </sheets>
  <externalReferences>
    <externalReference r:id="rId13"/>
    <externalReference r:id="rId14"/>
  </externalReferences>
  <definedNames>
    <definedName name="_ftn1" localSheetId="4">'7A'!$A$23</definedName>
    <definedName name="_ftnref1" localSheetId="4">'7A'!#REF!</definedName>
    <definedName name="_xlnm.Print_Area" localSheetId="3">BSA!$A$1:$K$71</definedName>
    <definedName name="_xlnm.Print_Area" localSheetId="5">'COP-MOF'!$A$1:$E$26,'COP-MOF'!$G$1:$O$24</definedName>
    <definedName name="_xlnm.Print_Area" localSheetId="0">'Data Input'!$B$4:$L$144</definedName>
    <definedName name="_xlnm.Print_Area" localSheetId="6">'DSCR &amp; IRR'!$A$1:$L$16,'DSCR &amp; IRR'!$A$18:$L$24</definedName>
    <definedName name="_xlnm.Print_Titles" localSheetId="3">BSA!$1:$5</definedName>
    <definedName name="_xlnm.Print_Titles" localSheetId="0">'Data Input'!$B:$B,'Data Input'!$4:$11</definedName>
    <definedName name="_xlnm.Print_Titles" localSheetId="6">'DSCR &amp; IRR'!$1:$4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7" i="1" l="1"/>
  <c r="J168" i="1"/>
  <c r="L105" i="1"/>
  <c r="K105" i="1"/>
  <c r="L75" i="1"/>
  <c r="L84" i="1"/>
  <c r="K75" i="1"/>
  <c r="L97" i="1"/>
  <c r="L55" i="1"/>
  <c r="K55" i="1"/>
  <c r="J55" i="1"/>
  <c r="I55" i="1"/>
  <c r="J169" i="1"/>
  <c r="J165" i="1"/>
  <c r="I120" i="1"/>
  <c r="J120" i="1"/>
  <c r="J28" i="1" l="1"/>
  <c r="I42" i="1"/>
  <c r="J42" i="1"/>
  <c r="J40" i="1" s="1"/>
  <c r="I28" i="1"/>
  <c r="I43" i="1"/>
  <c r="J43" i="1"/>
  <c r="J163" i="1"/>
  <c r="K163" i="1"/>
  <c r="L163" i="1"/>
  <c r="I163" i="1"/>
  <c r="H40" i="1"/>
  <c r="I40" i="1"/>
  <c r="K40" i="1"/>
  <c r="F85" i="1"/>
  <c r="I64" i="3"/>
  <c r="I63" i="3"/>
  <c r="I50" i="3"/>
  <c r="I49" i="3"/>
  <c r="I48" i="3"/>
  <c r="I47" i="3"/>
  <c r="I46" i="3"/>
  <c r="I44" i="3"/>
  <c r="I40" i="3"/>
  <c r="I39" i="3"/>
  <c r="I32" i="3"/>
  <c r="I31" i="3"/>
  <c r="I26" i="3"/>
  <c r="I24" i="3"/>
  <c r="I22" i="3"/>
  <c r="I35" i="3" s="1"/>
  <c r="I20" i="3"/>
  <c r="I18" i="3"/>
  <c r="I10" i="3"/>
  <c r="I9" i="3"/>
  <c r="I4" i="3"/>
  <c r="I34" i="4"/>
  <c r="I33" i="4"/>
  <c r="I30" i="4"/>
  <c r="I29" i="4"/>
  <c r="I27" i="4"/>
  <c r="I25" i="4"/>
  <c r="I23" i="4"/>
  <c r="I21" i="4"/>
  <c r="I18" i="4"/>
  <c r="I14" i="4"/>
  <c r="I13" i="4"/>
  <c r="I12" i="4"/>
  <c r="I11" i="4"/>
  <c r="I4" i="4"/>
  <c r="L94" i="1"/>
  <c r="L85" i="1"/>
  <c r="I66" i="3" s="1"/>
  <c r="L135" i="1"/>
  <c r="L126" i="1"/>
  <c r="I38" i="4" s="1"/>
  <c r="I33" i="3"/>
  <c r="L113" i="1"/>
  <c r="I30" i="3" s="1"/>
  <c r="L109" i="1"/>
  <c r="L106" i="1"/>
  <c r="I27" i="3" s="1"/>
  <c r="L74" i="1"/>
  <c r="L46" i="1"/>
  <c r="L40" i="1"/>
  <c r="L65" i="1"/>
  <c r="L21" i="1"/>
  <c r="L30" i="1" s="1"/>
  <c r="L33" i="1" s="1"/>
  <c r="L35" i="1" s="1"/>
  <c r="I13" i="3" s="1"/>
  <c r="L16" i="1"/>
  <c r="L18" i="1" s="1"/>
  <c r="I8" i="3" s="1"/>
  <c r="L12" i="1"/>
  <c r="I7" i="3" s="1"/>
  <c r="I11" i="3" s="1"/>
  <c r="L9" i="1"/>
  <c r="I31" i="4" l="1"/>
  <c r="I34" i="3"/>
  <c r="I19" i="3"/>
  <c r="I25" i="3"/>
  <c r="I41" i="3"/>
  <c r="I42" i="3" s="1"/>
  <c r="I51" i="3"/>
  <c r="I52" i="3" s="1"/>
  <c r="I48" i="4"/>
  <c r="I16" i="3"/>
  <c r="I17" i="3" s="1"/>
  <c r="I36" i="3"/>
  <c r="I32" i="4"/>
  <c r="I23" i="3"/>
  <c r="I37" i="4"/>
  <c r="I45" i="3"/>
  <c r="L153" i="1"/>
  <c r="L86" i="1"/>
  <c r="L112" i="1"/>
  <c r="L37" i="1"/>
  <c r="L39" i="1" s="1"/>
  <c r="L66" i="1"/>
  <c r="L166" i="1" l="1"/>
  <c r="I28" i="3"/>
  <c r="L44" i="1"/>
  <c r="I14" i="3"/>
  <c r="I21" i="3" s="1"/>
  <c r="L122" i="1"/>
  <c r="I61" i="3"/>
  <c r="L95" i="1"/>
  <c r="I50" i="4"/>
  <c r="I39" i="4"/>
  <c r="C11" i="12"/>
  <c r="C10" i="12"/>
  <c r="C9" i="12"/>
  <c r="C8" i="12"/>
  <c r="C7" i="12"/>
  <c r="C6" i="12"/>
  <c r="C5" i="12"/>
  <c r="C4" i="12"/>
  <c r="C3" i="12"/>
  <c r="C2" i="12"/>
  <c r="L140" i="1" l="1"/>
  <c r="I41" i="4" s="1"/>
  <c r="L165" i="1"/>
  <c r="L152" i="1"/>
  <c r="L45" i="1"/>
  <c r="L50" i="1" s="1"/>
  <c r="I12" i="3" s="1"/>
  <c r="L159" i="1"/>
  <c r="L137" i="1"/>
  <c r="I35" i="4" s="1"/>
  <c r="I51" i="4"/>
  <c r="I52" i="4" s="1"/>
  <c r="I62" i="3"/>
  <c r="I65" i="3" s="1"/>
  <c r="I67" i="3" s="1"/>
  <c r="I36" i="4"/>
  <c r="H20" i="3"/>
  <c r="H64" i="3"/>
  <c r="H63" i="3"/>
  <c r="H51" i="3"/>
  <c r="H50" i="3"/>
  <c r="H49" i="3"/>
  <c r="H48" i="3"/>
  <c r="H47" i="3"/>
  <c r="H46" i="3"/>
  <c r="H44" i="3"/>
  <c r="H40" i="3"/>
  <c r="H33" i="3"/>
  <c r="H32" i="3"/>
  <c r="H31" i="3"/>
  <c r="H26" i="3"/>
  <c r="H24" i="3"/>
  <c r="H22" i="3"/>
  <c r="H18" i="3"/>
  <c r="H10" i="3"/>
  <c r="H9" i="3"/>
  <c r="H4" i="3"/>
  <c r="H39" i="3"/>
  <c r="I55" i="3" l="1"/>
  <c r="I15" i="4"/>
  <c r="L54" i="1"/>
  <c r="I16" i="4" s="1"/>
  <c r="L151" i="1"/>
  <c r="I68" i="3"/>
  <c r="I70" i="3" s="1"/>
  <c r="H23" i="3"/>
  <c r="L57" i="1"/>
  <c r="L154" i="1" s="1"/>
  <c r="H52" i="3"/>
  <c r="H25" i="3"/>
  <c r="H35" i="3"/>
  <c r="H36" i="3" s="1"/>
  <c r="H34" i="4"/>
  <c r="H33" i="4"/>
  <c r="H30" i="4"/>
  <c r="H29" i="4"/>
  <c r="H27" i="4"/>
  <c r="H25" i="4"/>
  <c r="H23" i="4"/>
  <c r="H21" i="4"/>
  <c r="H18" i="4"/>
  <c r="H14" i="4"/>
  <c r="H13" i="4"/>
  <c r="H12" i="4"/>
  <c r="H11" i="4"/>
  <c r="H4" i="4"/>
  <c r="I17" i="4" l="1"/>
  <c r="I19" i="4"/>
  <c r="L64" i="1"/>
  <c r="L62" i="1"/>
  <c r="I22" i="4"/>
  <c r="L63" i="1"/>
  <c r="L58" i="1"/>
  <c r="L60" i="1" s="1"/>
  <c r="L61" i="1" s="1"/>
  <c r="I13" i="5"/>
  <c r="H13" i="5"/>
  <c r="G13" i="5"/>
  <c r="F13" i="5"/>
  <c r="E13" i="5"/>
  <c r="D13" i="5"/>
  <c r="C13" i="5"/>
  <c r="B13" i="5"/>
  <c r="L162" i="1" l="1"/>
  <c r="J19" i="11"/>
  <c r="I19" i="11"/>
  <c r="H19" i="11"/>
  <c r="G19" i="11"/>
  <c r="F19" i="11"/>
  <c r="E19" i="11"/>
  <c r="D19" i="11"/>
  <c r="J18" i="11"/>
  <c r="I18" i="11"/>
  <c r="H18" i="11"/>
  <c r="G18" i="11"/>
  <c r="F18" i="11"/>
  <c r="E18" i="11"/>
  <c r="D18" i="11"/>
  <c r="J9" i="11"/>
  <c r="I9" i="11"/>
  <c r="H9" i="11"/>
  <c r="G9" i="11"/>
  <c r="F9" i="11"/>
  <c r="E9" i="11"/>
  <c r="D9" i="11"/>
  <c r="J8" i="11"/>
  <c r="I8" i="11"/>
  <c r="H8" i="11"/>
  <c r="G8" i="11"/>
  <c r="F8" i="11"/>
  <c r="E8" i="11"/>
  <c r="D8" i="11"/>
  <c r="C9" i="11"/>
  <c r="C8" i="11"/>
  <c r="J17" i="11" l="1"/>
  <c r="D17" i="11"/>
  <c r="E17" i="11"/>
  <c r="I17" i="11"/>
  <c r="H17" i="11"/>
  <c r="G17" i="11"/>
  <c r="F17" i="11"/>
  <c r="K27" i="8" l="1"/>
  <c r="J13" i="8"/>
  <c r="J37" i="8" s="1"/>
  <c r="I13" i="8"/>
  <c r="I37" i="8" s="1"/>
  <c r="H13" i="8"/>
  <c r="H37" i="8" s="1"/>
  <c r="G13" i="8"/>
  <c r="G37" i="8" s="1"/>
  <c r="F13" i="8"/>
  <c r="F37" i="8" s="1"/>
  <c r="E13" i="8"/>
  <c r="E37" i="8" s="1"/>
  <c r="D13" i="8"/>
  <c r="D37" i="8" s="1"/>
  <c r="C13" i="8"/>
  <c r="I12" i="5"/>
  <c r="H12" i="5"/>
  <c r="G12" i="5"/>
  <c r="F12" i="5"/>
  <c r="E12" i="5"/>
  <c r="D12" i="5"/>
  <c r="D14" i="5" s="1"/>
  <c r="C12" i="5"/>
  <c r="I10" i="5"/>
  <c r="H10" i="5"/>
  <c r="G10" i="5"/>
  <c r="F10" i="5"/>
  <c r="E10" i="5"/>
  <c r="D10" i="5"/>
  <c r="C10" i="5"/>
  <c r="I9" i="5"/>
  <c r="H9" i="5"/>
  <c r="G9" i="5"/>
  <c r="F9" i="5"/>
  <c r="E9" i="5"/>
  <c r="D9" i="5"/>
  <c r="C9" i="5"/>
  <c r="I8" i="5"/>
  <c r="H8" i="5"/>
  <c r="G8" i="5"/>
  <c r="F8" i="5"/>
  <c r="E8" i="5"/>
  <c r="D8" i="5"/>
  <c r="C8" i="5"/>
  <c r="B12" i="5"/>
  <c r="B10" i="5"/>
  <c r="B9" i="5"/>
  <c r="B8" i="5"/>
  <c r="H14" i="5" l="1"/>
  <c r="C14" i="5"/>
  <c r="G14" i="5"/>
  <c r="B14" i="5"/>
  <c r="E14" i="5"/>
  <c r="I14" i="5"/>
  <c r="F14" i="5"/>
  <c r="B21" i="4" l="1"/>
  <c r="G33" i="4"/>
  <c r="F33" i="4"/>
  <c r="E33" i="4"/>
  <c r="G27" i="4"/>
  <c r="F27" i="4"/>
  <c r="E27" i="4"/>
  <c r="D27" i="4"/>
  <c r="C27" i="4"/>
  <c r="B27" i="4"/>
  <c r="E18" i="4"/>
  <c r="D18" i="4"/>
  <c r="C18" i="4"/>
  <c r="B18" i="4"/>
  <c r="F18" i="4"/>
  <c r="G18" i="4"/>
  <c r="G12" i="4"/>
  <c r="F12" i="4"/>
  <c r="E12" i="4"/>
  <c r="D12" i="4"/>
  <c r="C12" i="4"/>
  <c r="B12" i="4"/>
  <c r="G11" i="4"/>
  <c r="F11" i="4"/>
  <c r="E11" i="4"/>
  <c r="B33" i="4"/>
  <c r="B11" i="4"/>
  <c r="E53" i="1"/>
  <c r="B13" i="4"/>
  <c r="D33" i="4"/>
  <c r="C33" i="4"/>
  <c r="C11" i="4"/>
  <c r="D11" i="4"/>
  <c r="L13" i="5" l="1"/>
  <c r="K13" i="5"/>
  <c r="J13" i="5"/>
  <c r="J5" i="5" l="1"/>
  <c r="J18" i="5" s="1"/>
  <c r="K5" i="5"/>
  <c r="K18" i="5" s="1"/>
  <c r="L5" i="5"/>
  <c r="L18" i="5" s="1"/>
  <c r="J8" i="5"/>
  <c r="K8" i="5"/>
  <c r="L8" i="5"/>
  <c r="J9" i="5"/>
  <c r="K9" i="5"/>
  <c r="L9" i="5"/>
  <c r="J10" i="5"/>
  <c r="K10" i="5"/>
  <c r="L10" i="5"/>
  <c r="J12" i="5"/>
  <c r="J14" i="5" s="1"/>
  <c r="K12" i="5"/>
  <c r="K14" i="5" s="1"/>
  <c r="L12" i="5"/>
  <c r="L14" i="5" s="1"/>
  <c r="J50" i="8"/>
  <c r="I50" i="8"/>
  <c r="H50" i="8"/>
  <c r="G50" i="8"/>
  <c r="F50" i="8"/>
  <c r="E50" i="8"/>
  <c r="D50" i="8"/>
  <c r="J5" i="11"/>
  <c r="I5" i="11"/>
  <c r="H5" i="11"/>
  <c r="G5" i="11"/>
  <c r="F5" i="11"/>
  <c r="E5" i="11"/>
  <c r="D5" i="11"/>
  <c r="C5" i="11"/>
  <c r="J5" i="8"/>
  <c r="I5" i="8"/>
  <c r="H5" i="8"/>
  <c r="G5" i="8"/>
  <c r="F5" i="8"/>
  <c r="E5" i="8"/>
  <c r="D5" i="8"/>
  <c r="C5" i="8"/>
  <c r="L11" i="7"/>
  <c r="L10" i="7"/>
  <c r="K10" i="7"/>
  <c r="J10" i="7"/>
  <c r="I10" i="7"/>
  <c r="H10" i="7"/>
  <c r="G10" i="7"/>
  <c r="F10" i="7"/>
  <c r="E10" i="7"/>
  <c r="D10" i="7"/>
  <c r="C10" i="7"/>
  <c r="L9" i="7"/>
  <c r="L8" i="7"/>
  <c r="K8" i="7"/>
  <c r="J8" i="7"/>
  <c r="I8" i="7"/>
  <c r="H8" i="7"/>
  <c r="G8" i="7"/>
  <c r="F8" i="7"/>
  <c r="E8" i="7"/>
  <c r="D8" i="7"/>
  <c r="C8" i="7"/>
  <c r="B10" i="7"/>
  <c r="B8" i="7"/>
  <c r="L5" i="7"/>
  <c r="K5" i="7"/>
  <c r="J5" i="7"/>
  <c r="I5" i="7"/>
  <c r="H5" i="7"/>
  <c r="G5" i="7"/>
  <c r="F5" i="7"/>
  <c r="E5" i="7"/>
  <c r="D5" i="7"/>
  <c r="C5" i="7"/>
  <c r="B5" i="7"/>
  <c r="L6" i="7"/>
  <c r="I5" i="5"/>
  <c r="H5" i="5"/>
  <c r="G5" i="5"/>
  <c r="F5" i="5"/>
  <c r="E5" i="5"/>
  <c r="D5" i="5"/>
  <c r="C5" i="5"/>
  <c r="B5" i="5"/>
  <c r="G34" i="4"/>
  <c r="G30" i="4"/>
  <c r="G29" i="4"/>
  <c r="G25" i="4"/>
  <c r="G23" i="4"/>
  <c r="G21" i="4"/>
  <c r="G14" i="4"/>
  <c r="G13" i="4"/>
  <c r="G4" i="4"/>
  <c r="K64" i="2"/>
  <c r="J64" i="2"/>
  <c r="I64" i="2"/>
  <c r="K36" i="2"/>
  <c r="J36" i="2"/>
  <c r="I36" i="2"/>
  <c r="K35" i="2"/>
  <c r="J35" i="2"/>
  <c r="I35" i="2"/>
  <c r="K34" i="2"/>
  <c r="J34" i="2"/>
  <c r="I34" i="2"/>
  <c r="K33" i="2"/>
  <c r="J33" i="2"/>
  <c r="I33" i="2"/>
  <c r="K31" i="2"/>
  <c r="J31" i="2"/>
  <c r="I31" i="2"/>
  <c r="K25" i="2"/>
  <c r="I8" i="4" s="1"/>
  <c r="J25" i="2"/>
  <c r="H8" i="4" s="1"/>
  <c r="I25" i="2"/>
  <c r="G8" i="4" s="1"/>
  <c r="K24" i="2"/>
  <c r="I7" i="4" s="1"/>
  <c r="J24" i="2"/>
  <c r="H7" i="4" s="1"/>
  <c r="I24" i="2"/>
  <c r="G7" i="4" s="1"/>
  <c r="K17" i="2"/>
  <c r="J17" i="2"/>
  <c r="I17" i="2"/>
  <c r="K16" i="2"/>
  <c r="J16" i="2"/>
  <c r="I16" i="2"/>
  <c r="K10" i="2"/>
  <c r="J10" i="2"/>
  <c r="I10" i="2"/>
  <c r="K9" i="2"/>
  <c r="J9" i="2"/>
  <c r="I9" i="2"/>
  <c r="K8" i="2"/>
  <c r="J8" i="2"/>
  <c r="I8" i="2"/>
  <c r="K4" i="2"/>
  <c r="J4" i="2"/>
  <c r="I4" i="2"/>
  <c r="F53" i="1"/>
  <c r="K13" i="4" l="1"/>
  <c r="G64" i="3"/>
  <c r="G63" i="3"/>
  <c r="G51" i="3"/>
  <c r="G50" i="3"/>
  <c r="G49" i="3"/>
  <c r="G48" i="3"/>
  <c r="G47" i="3"/>
  <c r="G46" i="3"/>
  <c r="G44" i="3"/>
  <c r="G40" i="3"/>
  <c r="G39" i="3"/>
  <c r="G33" i="3"/>
  <c r="G32" i="3"/>
  <c r="G31" i="3"/>
  <c r="G26" i="3"/>
  <c r="G24" i="3"/>
  <c r="G22" i="3"/>
  <c r="G20" i="3"/>
  <c r="G18" i="3"/>
  <c r="G10" i="3"/>
  <c r="G9" i="3"/>
  <c r="G4" i="3"/>
  <c r="G135" i="1"/>
  <c r="F135" i="1"/>
  <c r="E135" i="1"/>
  <c r="F29" i="4"/>
  <c r="E29" i="4"/>
  <c r="D29" i="4"/>
  <c r="C29" i="4"/>
  <c r="B29" i="4"/>
  <c r="F34" i="4"/>
  <c r="E34" i="4"/>
  <c r="D34" i="4"/>
  <c r="C34" i="4"/>
  <c r="B34" i="4"/>
  <c r="F30" i="4"/>
  <c r="E30" i="4"/>
  <c r="D30" i="4"/>
  <c r="C30" i="4"/>
  <c r="B30" i="4"/>
  <c r="G25" i="3" l="1"/>
  <c r="G35" i="3"/>
  <c r="G36" i="3" s="1"/>
  <c r="G23" i="3"/>
  <c r="G52" i="3"/>
  <c r="F21" i="4"/>
  <c r="E21" i="4"/>
  <c r="D21" i="4"/>
  <c r="C21" i="4"/>
  <c r="C51" i="3"/>
  <c r="F25" i="4"/>
  <c r="F23" i="4"/>
  <c r="F14" i="4"/>
  <c r="F13" i="4"/>
  <c r="F4" i="4"/>
  <c r="H64" i="2"/>
  <c r="H36" i="2"/>
  <c r="H35" i="2"/>
  <c r="H34" i="2"/>
  <c r="H33" i="2"/>
  <c r="H31" i="2"/>
  <c r="H25" i="2"/>
  <c r="F8" i="4" s="1"/>
  <c r="H24" i="2"/>
  <c r="F7" i="4" s="1"/>
  <c r="H17" i="2"/>
  <c r="H16" i="2"/>
  <c r="H10" i="2"/>
  <c r="H9" i="2"/>
  <c r="H8" i="2"/>
  <c r="H4" i="2"/>
  <c r="C64" i="3"/>
  <c r="B64" i="3"/>
  <c r="C63" i="3"/>
  <c r="B63" i="3"/>
  <c r="B51" i="3"/>
  <c r="C50" i="3"/>
  <c r="B50" i="3"/>
  <c r="C49" i="3"/>
  <c r="B49" i="3"/>
  <c r="C48" i="3"/>
  <c r="B48" i="3"/>
  <c r="C47" i="3"/>
  <c r="B47" i="3"/>
  <c r="C46" i="3"/>
  <c r="B46" i="3"/>
  <c r="C44" i="3"/>
  <c r="B44" i="3"/>
  <c r="C40" i="3"/>
  <c r="B40" i="3"/>
  <c r="C33" i="3"/>
  <c r="B33" i="3"/>
  <c r="C32" i="3"/>
  <c r="B32" i="3"/>
  <c r="C31" i="3"/>
  <c r="B31" i="3"/>
  <c r="C26" i="3"/>
  <c r="B26" i="3"/>
  <c r="C24" i="3"/>
  <c r="B24" i="3"/>
  <c r="C22" i="3"/>
  <c r="B22" i="3"/>
  <c r="C20" i="3"/>
  <c r="B20" i="3"/>
  <c r="C18" i="3"/>
  <c r="B18" i="3"/>
  <c r="C10" i="3"/>
  <c r="B10" i="3"/>
  <c r="C9" i="3"/>
  <c r="B9" i="3"/>
  <c r="C4" i="3"/>
  <c r="B4" i="3"/>
  <c r="G53" i="1"/>
  <c r="J13" i="4" l="1"/>
  <c r="B25" i="3"/>
  <c r="C39" i="3"/>
  <c r="B52" i="3"/>
  <c r="B23" i="3"/>
  <c r="C52" i="3"/>
  <c r="C23" i="3"/>
  <c r="B35" i="3"/>
  <c r="B36" i="3" s="1"/>
  <c r="C35" i="3"/>
  <c r="C36" i="3" s="1"/>
  <c r="C25" i="3"/>
  <c r="F33" i="3"/>
  <c r="E33" i="3"/>
  <c r="H113" i="1"/>
  <c r="I113" i="1"/>
  <c r="E40" i="1"/>
  <c r="F40" i="1"/>
  <c r="I16" i="1"/>
  <c r="B4" i="8"/>
  <c r="B2" i="8"/>
  <c r="B3" i="8"/>
  <c r="B1" i="8"/>
  <c r="K32" i="8"/>
  <c r="K33" i="8"/>
  <c r="C28" i="8"/>
  <c r="D26" i="8"/>
  <c r="E26" i="8"/>
  <c r="F26" i="8"/>
  <c r="G26" i="8"/>
  <c r="H26" i="8"/>
  <c r="I26" i="8"/>
  <c r="J26" i="8"/>
  <c r="D40" i="8"/>
  <c r="E16" i="8"/>
  <c r="F40" i="8"/>
  <c r="H40" i="8"/>
  <c r="I40" i="8"/>
  <c r="J40" i="8"/>
  <c r="C37" i="8"/>
  <c r="C40" i="8" s="1"/>
  <c r="D29" i="8"/>
  <c r="E29" i="8"/>
  <c r="F29" i="8"/>
  <c r="G29" i="8"/>
  <c r="H29" i="8"/>
  <c r="I29" i="8"/>
  <c r="J29" i="8"/>
  <c r="C29" i="8"/>
  <c r="D17" i="8"/>
  <c r="E17" i="8"/>
  <c r="F17" i="8"/>
  <c r="F41" i="8" s="1"/>
  <c r="F44" i="8" s="1"/>
  <c r="G17" i="8"/>
  <c r="G41" i="8" s="1"/>
  <c r="G44" i="8" s="1"/>
  <c r="H17" i="8"/>
  <c r="J17" i="8"/>
  <c r="J41" i="8" s="1"/>
  <c r="J44" i="8" s="1"/>
  <c r="C17" i="8"/>
  <c r="C41" i="8" s="1"/>
  <c r="C44" i="8" s="1"/>
  <c r="I16" i="8"/>
  <c r="G16" i="8"/>
  <c r="A4" i="7"/>
  <c r="A3" i="7"/>
  <c r="A2" i="7"/>
  <c r="A1" i="7"/>
  <c r="A9" i="7"/>
  <c r="J49" i="11"/>
  <c r="I49" i="11"/>
  <c r="H49" i="11"/>
  <c r="G49" i="11"/>
  <c r="F49" i="11"/>
  <c r="E49" i="11"/>
  <c r="D49" i="11"/>
  <c r="C49" i="11"/>
  <c r="J48" i="11"/>
  <c r="I48" i="11"/>
  <c r="H48" i="11"/>
  <c r="G48" i="11"/>
  <c r="F48" i="11"/>
  <c r="E48" i="11"/>
  <c r="D48" i="11"/>
  <c r="C48" i="11"/>
  <c r="J34" i="11"/>
  <c r="I34" i="11"/>
  <c r="H34" i="11"/>
  <c r="G34" i="11"/>
  <c r="F34" i="11"/>
  <c r="E34" i="11"/>
  <c r="D34" i="11"/>
  <c r="C34" i="11"/>
  <c r="J33" i="11"/>
  <c r="I33" i="11"/>
  <c r="H33" i="11"/>
  <c r="G33" i="11"/>
  <c r="F33" i="11"/>
  <c r="E33" i="11"/>
  <c r="D33" i="11"/>
  <c r="C33" i="11"/>
  <c r="A4" i="11"/>
  <c r="A2" i="11"/>
  <c r="A3" i="11"/>
  <c r="A1" i="11"/>
  <c r="C24" i="11"/>
  <c r="C39" i="11" s="1"/>
  <c r="D24" i="11"/>
  <c r="D39" i="11" s="1"/>
  <c r="E24" i="11"/>
  <c r="E39" i="11" s="1"/>
  <c r="F24" i="11"/>
  <c r="F39" i="11" s="1"/>
  <c r="G24" i="11"/>
  <c r="G39" i="11" s="1"/>
  <c r="H24" i="11"/>
  <c r="H39" i="11" s="1"/>
  <c r="I24" i="11"/>
  <c r="I39" i="11" s="1"/>
  <c r="J24" i="11"/>
  <c r="J39" i="11" s="1"/>
  <c r="E23" i="11"/>
  <c r="F23" i="11"/>
  <c r="F38" i="11" s="1"/>
  <c r="G23" i="11"/>
  <c r="H23" i="11"/>
  <c r="H38" i="11" s="1"/>
  <c r="I23" i="11"/>
  <c r="I38" i="11" s="1"/>
  <c r="J23" i="11"/>
  <c r="J38" i="11" s="1"/>
  <c r="C20" i="11"/>
  <c r="C35" i="11" s="1"/>
  <c r="D20" i="11"/>
  <c r="D35" i="11" s="1"/>
  <c r="E20" i="11"/>
  <c r="E35" i="11" s="1"/>
  <c r="F20" i="11"/>
  <c r="F35" i="11" s="1"/>
  <c r="G20" i="11"/>
  <c r="G35" i="11" s="1"/>
  <c r="H20" i="11"/>
  <c r="H35" i="11" s="1"/>
  <c r="I20" i="11"/>
  <c r="I35" i="11" s="1"/>
  <c r="J20" i="11"/>
  <c r="J35" i="11" s="1"/>
  <c r="C19" i="11"/>
  <c r="C18" i="11"/>
  <c r="A4" i="5"/>
  <c r="F21" i="8"/>
  <c r="F45" i="8" s="1"/>
  <c r="G21" i="8"/>
  <c r="G45" i="8" s="1"/>
  <c r="I21" i="8"/>
  <c r="I45" i="8" s="1"/>
  <c r="C21" i="8"/>
  <c r="C45" i="8" s="1"/>
  <c r="C18" i="5"/>
  <c r="D18" i="5"/>
  <c r="E18" i="5"/>
  <c r="F18" i="5"/>
  <c r="G18" i="5"/>
  <c r="H18" i="5"/>
  <c r="I18" i="5"/>
  <c r="B18" i="5"/>
  <c r="A2" i="5"/>
  <c r="A3" i="5"/>
  <c r="A1" i="5"/>
  <c r="A4" i="4"/>
  <c r="A2" i="4"/>
  <c r="A3" i="4"/>
  <c r="A1" i="4"/>
  <c r="C13" i="4"/>
  <c r="D13" i="4"/>
  <c r="E13" i="4"/>
  <c r="C14" i="4"/>
  <c r="D14" i="4"/>
  <c r="E14" i="4"/>
  <c r="C23" i="4"/>
  <c r="D23" i="4"/>
  <c r="E23" i="4"/>
  <c r="C25" i="4"/>
  <c r="D25" i="4"/>
  <c r="B25" i="4"/>
  <c r="B23" i="4"/>
  <c r="B14" i="4"/>
  <c r="E4" i="4"/>
  <c r="D4" i="4"/>
  <c r="C4" i="4"/>
  <c r="B4" i="4"/>
  <c r="G4" i="9"/>
  <c r="G2" i="9"/>
  <c r="G3" i="9"/>
  <c r="G1" i="9"/>
  <c r="A4" i="9"/>
  <c r="A2" i="9"/>
  <c r="A3" i="9"/>
  <c r="A1" i="9"/>
  <c r="A4" i="3"/>
  <c r="A2" i="3"/>
  <c r="A3" i="3"/>
  <c r="A1" i="3"/>
  <c r="E31" i="3"/>
  <c r="F31" i="3"/>
  <c r="E32" i="3"/>
  <c r="F32" i="3"/>
  <c r="E39" i="3"/>
  <c r="F39" i="3"/>
  <c r="E40" i="3"/>
  <c r="F40" i="3"/>
  <c r="E44" i="3"/>
  <c r="F44" i="3"/>
  <c r="E46" i="3"/>
  <c r="F46" i="3"/>
  <c r="E47" i="3"/>
  <c r="F47" i="3"/>
  <c r="E48" i="3"/>
  <c r="F48" i="3"/>
  <c r="E49" i="3"/>
  <c r="F49" i="3"/>
  <c r="E50" i="3"/>
  <c r="F50" i="3"/>
  <c r="E64" i="3"/>
  <c r="F64" i="3"/>
  <c r="D64" i="3"/>
  <c r="D63" i="3"/>
  <c r="D51" i="3"/>
  <c r="D50" i="3"/>
  <c r="D49" i="3"/>
  <c r="D48" i="3"/>
  <c r="D44" i="3"/>
  <c r="D47" i="3"/>
  <c r="D46" i="3"/>
  <c r="D40" i="3"/>
  <c r="D39" i="3"/>
  <c r="D33" i="3"/>
  <c r="D32" i="3"/>
  <c r="D31" i="3"/>
  <c r="E9" i="3"/>
  <c r="F9" i="3"/>
  <c r="E10" i="3"/>
  <c r="F10" i="3"/>
  <c r="E18" i="3"/>
  <c r="F18" i="3"/>
  <c r="E24" i="3"/>
  <c r="F24" i="3"/>
  <c r="E26" i="3"/>
  <c r="F26" i="3"/>
  <c r="D26" i="3"/>
  <c r="D22" i="3"/>
  <c r="D24" i="3"/>
  <c r="D20" i="3"/>
  <c r="D18" i="3"/>
  <c r="D10" i="3"/>
  <c r="D9" i="3"/>
  <c r="A2" i="2"/>
  <c r="A3" i="2"/>
  <c r="A1" i="2"/>
  <c r="A4" i="2"/>
  <c r="D64" i="2"/>
  <c r="E64" i="2"/>
  <c r="F64" i="2"/>
  <c r="G64" i="2"/>
  <c r="C64" i="2"/>
  <c r="F4" i="3"/>
  <c r="E4" i="3"/>
  <c r="D4" i="3"/>
  <c r="C16" i="1"/>
  <c r="C18" i="1" s="1"/>
  <c r="C21" i="1"/>
  <c r="C30" i="1" s="1"/>
  <c r="C33" i="1" s="1"/>
  <c r="C35" i="1" s="1"/>
  <c r="C37" i="1" s="1"/>
  <c r="C39" i="1" s="1"/>
  <c r="C40" i="1"/>
  <c r="C46" i="1"/>
  <c r="C53" i="1"/>
  <c r="C65" i="1"/>
  <c r="C74" i="1"/>
  <c r="C85" i="1"/>
  <c r="C94" i="1"/>
  <c r="C106" i="1"/>
  <c r="C109" i="1"/>
  <c r="C113" i="1"/>
  <c r="C112" i="1" s="1"/>
  <c r="C126" i="1"/>
  <c r="C135" i="1"/>
  <c r="D16" i="1"/>
  <c r="D18" i="1" s="1"/>
  <c r="E16" i="1"/>
  <c r="F16" i="1"/>
  <c r="F18" i="1" s="1"/>
  <c r="G16" i="1"/>
  <c r="H16" i="1"/>
  <c r="H18" i="1" s="1"/>
  <c r="J16" i="1"/>
  <c r="J18" i="1" s="1"/>
  <c r="K16" i="1"/>
  <c r="K18" i="1" s="1"/>
  <c r="D21" i="1"/>
  <c r="D30" i="1" s="1"/>
  <c r="D33" i="1" s="1"/>
  <c r="D35" i="1" s="1"/>
  <c r="D37" i="1" s="1"/>
  <c r="D39" i="1" s="1"/>
  <c r="E21" i="1"/>
  <c r="E30" i="1" s="1"/>
  <c r="E33" i="1" s="1"/>
  <c r="E35" i="1" s="1"/>
  <c r="B13" i="3" s="1"/>
  <c r="B19" i="3" s="1"/>
  <c r="F21" i="1"/>
  <c r="F30" i="1" s="1"/>
  <c r="F33" i="1" s="1"/>
  <c r="F35" i="1" s="1"/>
  <c r="G21" i="1"/>
  <c r="G30" i="1" s="1"/>
  <c r="G33" i="1" s="1"/>
  <c r="G35" i="1" s="1"/>
  <c r="J21" i="1"/>
  <c r="K21" i="1"/>
  <c r="D40" i="1"/>
  <c r="C9" i="7"/>
  <c r="D9" i="7"/>
  <c r="E9" i="7"/>
  <c r="F9" i="7"/>
  <c r="G9" i="7"/>
  <c r="H9" i="7"/>
  <c r="I9" i="7"/>
  <c r="J9" i="7"/>
  <c r="K9" i="7"/>
  <c r="D46" i="1"/>
  <c r="E46" i="1"/>
  <c r="F46" i="1"/>
  <c r="G46" i="1"/>
  <c r="H46" i="1"/>
  <c r="I46" i="1"/>
  <c r="H18" i="2" s="1"/>
  <c r="J46" i="1"/>
  <c r="I18" i="2" s="1"/>
  <c r="K46" i="1"/>
  <c r="J18" i="2" s="1"/>
  <c r="K18" i="2"/>
  <c r="D53" i="1"/>
  <c r="H53" i="1"/>
  <c r="I53" i="1"/>
  <c r="J53" i="1"/>
  <c r="D65" i="1"/>
  <c r="F65" i="1"/>
  <c r="G65" i="1"/>
  <c r="H65" i="1"/>
  <c r="I65" i="1"/>
  <c r="J65" i="1"/>
  <c r="K65" i="1"/>
  <c r="D74" i="1"/>
  <c r="E74" i="1"/>
  <c r="F74" i="1"/>
  <c r="G74" i="1"/>
  <c r="H74" i="1"/>
  <c r="I74" i="1"/>
  <c r="J74" i="1"/>
  <c r="K74" i="1"/>
  <c r="H32" i="4" s="1"/>
  <c r="D85" i="1"/>
  <c r="E85" i="1"/>
  <c r="B66" i="3" s="1"/>
  <c r="C66" i="3"/>
  <c r="G85" i="1"/>
  <c r="D66" i="3" s="1"/>
  <c r="J85" i="1"/>
  <c r="G66" i="3" s="1"/>
  <c r="K85" i="1"/>
  <c r="H66" i="3" s="1"/>
  <c r="D94" i="1"/>
  <c r="E94" i="1"/>
  <c r="F94" i="1"/>
  <c r="G94" i="1"/>
  <c r="H94" i="1"/>
  <c r="I94" i="1"/>
  <c r="J94" i="1"/>
  <c r="K94" i="1"/>
  <c r="D106" i="1"/>
  <c r="E106" i="1"/>
  <c r="B41" i="3" s="1"/>
  <c r="F106" i="1"/>
  <c r="C41" i="3" s="1"/>
  <c r="G106" i="1"/>
  <c r="D41" i="3" s="1"/>
  <c r="H106" i="1"/>
  <c r="E27" i="3" s="1"/>
  <c r="I106" i="1"/>
  <c r="J106" i="1"/>
  <c r="K106" i="1"/>
  <c r="D109" i="1"/>
  <c r="E109" i="1"/>
  <c r="F109" i="1"/>
  <c r="G109" i="1"/>
  <c r="J109" i="1"/>
  <c r="K109" i="1"/>
  <c r="D113" i="1"/>
  <c r="D112" i="1" s="1"/>
  <c r="E113" i="1"/>
  <c r="F113" i="1"/>
  <c r="G113" i="1"/>
  <c r="G112" i="1" s="1"/>
  <c r="J113" i="1"/>
  <c r="J112" i="1" s="1"/>
  <c r="K113" i="1"/>
  <c r="K112" i="1" s="1"/>
  <c r="D126" i="1"/>
  <c r="C62" i="2" s="1"/>
  <c r="E126" i="1"/>
  <c r="F126" i="1"/>
  <c r="C48" i="4" s="1"/>
  <c r="G126" i="1"/>
  <c r="D48" i="4" s="1"/>
  <c r="J126" i="1"/>
  <c r="K126" i="1"/>
  <c r="D135" i="1"/>
  <c r="B37" i="4"/>
  <c r="C37" i="4"/>
  <c r="D37" i="4"/>
  <c r="H135" i="1"/>
  <c r="I135" i="1"/>
  <c r="F37" i="4" s="1"/>
  <c r="J135" i="1"/>
  <c r="K135" i="1"/>
  <c r="H37" i="4" s="1"/>
  <c r="E153" i="1" l="1"/>
  <c r="B48" i="4"/>
  <c r="J153" i="1"/>
  <c r="G48" i="4"/>
  <c r="K153" i="1"/>
  <c r="H48" i="4"/>
  <c r="C63" i="2"/>
  <c r="H8" i="3"/>
  <c r="L19" i="1"/>
  <c r="H61" i="3"/>
  <c r="H30" i="3"/>
  <c r="H34" i="3" s="1"/>
  <c r="H16" i="3"/>
  <c r="H17" i="3" s="1"/>
  <c r="C60" i="2"/>
  <c r="C38" i="4"/>
  <c r="F153" i="1"/>
  <c r="K30" i="1"/>
  <c r="K33" i="1" s="1"/>
  <c r="K35" i="1" s="1"/>
  <c r="D11" i="7" s="1"/>
  <c r="H45" i="3"/>
  <c r="H41" i="3"/>
  <c r="H42" i="3" s="1"/>
  <c r="H27" i="3"/>
  <c r="D38" i="4"/>
  <c r="G153" i="1"/>
  <c r="H38" i="4"/>
  <c r="H31" i="4"/>
  <c r="G18" i="1"/>
  <c r="D8" i="3" s="1"/>
  <c r="E37" i="4"/>
  <c r="J31" i="8"/>
  <c r="J7" i="8"/>
  <c r="I112" i="1"/>
  <c r="F61" i="3" s="1"/>
  <c r="J11" i="7"/>
  <c r="J8" i="8"/>
  <c r="J32" i="8"/>
  <c r="K62" i="2"/>
  <c r="I32" i="8"/>
  <c r="I8" i="8"/>
  <c r="E32" i="8"/>
  <c r="E8" i="8"/>
  <c r="F32" i="8"/>
  <c r="F8" i="8"/>
  <c r="G32" i="8"/>
  <c r="G8" i="8"/>
  <c r="H32" i="8"/>
  <c r="H8" i="8"/>
  <c r="D32" i="8"/>
  <c r="D8" i="8"/>
  <c r="F31" i="8"/>
  <c r="F7" i="8"/>
  <c r="G31" i="8"/>
  <c r="G7" i="8"/>
  <c r="C7" i="8"/>
  <c r="C31" i="8"/>
  <c r="H31" i="8"/>
  <c r="H7" i="8"/>
  <c r="D31" i="8"/>
  <c r="D7" i="8"/>
  <c r="I31" i="8"/>
  <c r="I7" i="8"/>
  <c r="E31" i="8"/>
  <c r="E7" i="8"/>
  <c r="C32" i="8"/>
  <c r="C8" i="8"/>
  <c r="J63" i="2"/>
  <c r="G37" i="4"/>
  <c r="I63" i="2"/>
  <c r="G38" i="4"/>
  <c r="F11" i="7"/>
  <c r="K63" i="2"/>
  <c r="J62" i="2"/>
  <c r="I23" i="2"/>
  <c r="G10" i="4" s="1"/>
  <c r="E18" i="1"/>
  <c r="J23" i="2"/>
  <c r="H10" i="4" s="1"/>
  <c r="K23" i="2"/>
  <c r="I10" i="4" s="1"/>
  <c r="G32" i="4"/>
  <c r="J60" i="2"/>
  <c r="K60" i="2"/>
  <c r="G31" i="4"/>
  <c r="I60" i="2"/>
  <c r="G30" i="3"/>
  <c r="G34" i="3" s="1"/>
  <c r="G16" i="3"/>
  <c r="G17" i="3" s="1"/>
  <c r="G27" i="3"/>
  <c r="G41" i="3"/>
  <c r="G42" i="3" s="1"/>
  <c r="G45" i="3"/>
  <c r="G8" i="3"/>
  <c r="D86" i="1"/>
  <c r="D95" i="1" s="1"/>
  <c r="C8" i="3"/>
  <c r="C42" i="3"/>
  <c r="H63" i="2"/>
  <c r="B39" i="3"/>
  <c r="B42" i="3" s="1"/>
  <c r="B27" i="3"/>
  <c r="C27" i="3"/>
  <c r="E112" i="1"/>
  <c r="B61" i="3" s="1"/>
  <c r="B16" i="3"/>
  <c r="B30" i="3"/>
  <c r="B34" i="3" s="1"/>
  <c r="F112" i="1"/>
  <c r="C61" i="3" s="1"/>
  <c r="C16" i="3"/>
  <c r="C30" i="3"/>
  <c r="C34" i="3" s="1"/>
  <c r="H60" i="2"/>
  <c r="F31" i="4"/>
  <c r="F32" i="4"/>
  <c r="B17" i="3"/>
  <c r="B45" i="3"/>
  <c r="F37" i="1"/>
  <c r="F39" i="1" s="1"/>
  <c r="C14" i="3" s="1"/>
  <c r="C21" i="3" s="1"/>
  <c r="C13" i="3"/>
  <c r="C19" i="3" s="1"/>
  <c r="C45" i="3"/>
  <c r="H16" i="8"/>
  <c r="D60" i="2"/>
  <c r="K11" i="7"/>
  <c r="K12" i="7" s="1"/>
  <c r="K13" i="7" s="1"/>
  <c r="H112" i="1"/>
  <c r="E61" i="3" s="1"/>
  <c r="E20" i="3"/>
  <c r="D16" i="8"/>
  <c r="K86" i="1"/>
  <c r="J86" i="1"/>
  <c r="J166" i="1" s="1"/>
  <c r="E40" i="8"/>
  <c r="J30" i="1"/>
  <c r="J33" i="1" s="1"/>
  <c r="J35" i="1" s="1"/>
  <c r="D63" i="2"/>
  <c r="C86" i="1"/>
  <c r="C95" i="1" s="1"/>
  <c r="C122" i="1"/>
  <c r="C137" i="1" s="1"/>
  <c r="D122" i="1"/>
  <c r="D44" i="1"/>
  <c r="H47" i="11"/>
  <c r="H42" i="8" s="1"/>
  <c r="I47" i="11"/>
  <c r="I42" i="8" s="1"/>
  <c r="F47" i="11"/>
  <c r="F42" i="8" s="1"/>
  <c r="F20" i="3"/>
  <c r="I21" i="1"/>
  <c r="H21" i="1"/>
  <c r="E37" i="1"/>
  <c r="E39" i="1" s="1"/>
  <c r="F86" i="1"/>
  <c r="C39" i="4" s="1"/>
  <c r="G122" i="1"/>
  <c r="D36" i="4" s="1"/>
  <c r="J47" i="11"/>
  <c r="J42" i="8" s="1"/>
  <c r="L12" i="7"/>
  <c r="L13" i="7" s="1"/>
  <c r="D13" i="3"/>
  <c r="D19" i="3" s="1"/>
  <c r="G37" i="1"/>
  <c r="G39" i="1" s="1"/>
  <c r="D14" i="3" s="1"/>
  <c r="D21" i="3" s="1"/>
  <c r="C17" i="11"/>
  <c r="J21" i="8"/>
  <c r="J45" i="8" s="1"/>
  <c r="J46" i="8" s="1"/>
  <c r="H32" i="11"/>
  <c r="G40" i="1"/>
  <c r="E41" i="3"/>
  <c r="E42" i="3" s="1"/>
  <c r="G32" i="11"/>
  <c r="K66" i="1"/>
  <c r="I11" i="7"/>
  <c r="I17" i="8"/>
  <c r="I41" i="8" s="1"/>
  <c r="I44" i="8" s="1"/>
  <c r="I46" i="8" s="1"/>
  <c r="H21" i="8"/>
  <c r="H45" i="8" s="1"/>
  <c r="D21" i="8"/>
  <c r="D45" i="8" s="1"/>
  <c r="F32" i="11"/>
  <c r="J32" i="11"/>
  <c r="E11" i="7"/>
  <c r="E12" i="7" s="1"/>
  <c r="E13" i="7" s="1"/>
  <c r="G86" i="1"/>
  <c r="D39" i="4" s="1"/>
  <c r="D27" i="3"/>
  <c r="E21" i="8"/>
  <c r="E45" i="8" s="1"/>
  <c r="E32" i="11"/>
  <c r="I32" i="11"/>
  <c r="I18" i="1"/>
  <c r="F41" i="3"/>
  <c r="F27" i="3"/>
  <c r="H126" i="1"/>
  <c r="I126" i="1"/>
  <c r="E86" i="1"/>
  <c r="G63" i="2"/>
  <c r="F63" i="2"/>
  <c r="E63" i="2"/>
  <c r="F62" i="2"/>
  <c r="E62" i="2"/>
  <c r="B38" i="4"/>
  <c r="D62" i="2"/>
  <c r="F16" i="3"/>
  <c r="F30" i="3"/>
  <c r="E16" i="3"/>
  <c r="E30" i="3"/>
  <c r="E34" i="3" s="1"/>
  <c r="D16" i="3"/>
  <c r="D17" i="3" s="1"/>
  <c r="D30" i="3"/>
  <c r="D34" i="3" s="1"/>
  <c r="D61" i="3"/>
  <c r="G60" i="2"/>
  <c r="E31" i="4"/>
  <c r="F60" i="2"/>
  <c r="D31" i="4"/>
  <c r="C31" i="4"/>
  <c r="B31" i="4"/>
  <c r="E60" i="2"/>
  <c r="E32" i="4"/>
  <c r="D32" i="4"/>
  <c r="C32" i="4"/>
  <c r="B32" i="4"/>
  <c r="E8" i="3"/>
  <c r="D45" i="3"/>
  <c r="D23" i="11"/>
  <c r="C23" i="11"/>
  <c r="C32" i="11" s="1"/>
  <c r="D20" i="8"/>
  <c r="F46" i="8"/>
  <c r="G46" i="8"/>
  <c r="C46" i="8"/>
  <c r="E38" i="11"/>
  <c r="E47" i="11" s="1"/>
  <c r="E42" i="8" s="1"/>
  <c r="G38" i="11"/>
  <c r="G47" i="11" s="1"/>
  <c r="G42" i="8" s="1"/>
  <c r="H20" i="8"/>
  <c r="H41" i="8"/>
  <c r="H44" i="8" s="1"/>
  <c r="E20" i="8"/>
  <c r="E41" i="8"/>
  <c r="E44" i="8" s="1"/>
  <c r="D41" i="8"/>
  <c r="D44" i="8" s="1"/>
  <c r="C16" i="8"/>
  <c r="C20" i="8"/>
  <c r="C22" i="8" s="1"/>
  <c r="G20" i="8"/>
  <c r="G22" i="8" s="1"/>
  <c r="F16" i="8"/>
  <c r="F20" i="8"/>
  <c r="F22" i="8" s="1"/>
  <c r="G40" i="8"/>
  <c r="J16" i="8"/>
  <c r="J20" i="8"/>
  <c r="E25" i="3"/>
  <c r="D25" i="3"/>
  <c r="F25" i="3"/>
  <c r="D23" i="3"/>
  <c r="D42" i="3"/>
  <c r="D52" i="3"/>
  <c r="D35" i="3"/>
  <c r="D36" i="3" s="1"/>
  <c r="C65" i="2"/>
  <c r="C44" i="1"/>
  <c r="C45" i="1" s="1"/>
  <c r="C50" i="1" s="1"/>
  <c r="C54" i="1" s="1"/>
  <c r="C57" i="1" s="1"/>
  <c r="C63" i="1" s="1"/>
  <c r="D19" i="1"/>
  <c r="D66" i="1"/>
  <c r="D45" i="1"/>
  <c r="D50" i="1" s="1"/>
  <c r="D54" i="1" s="1"/>
  <c r="D57" i="1" s="1"/>
  <c r="D58" i="1" s="1"/>
  <c r="D60" i="1" s="1"/>
  <c r="F66" i="1"/>
  <c r="J66" i="1"/>
  <c r="K19" i="1"/>
  <c r="D137" i="1"/>
  <c r="C31" i="2"/>
  <c r="D31" i="2"/>
  <c r="E31" i="2"/>
  <c r="F31" i="2"/>
  <c r="G31" i="2"/>
  <c r="C33" i="2"/>
  <c r="D33" i="2"/>
  <c r="E33" i="2"/>
  <c r="F33" i="2"/>
  <c r="G33" i="2"/>
  <c r="C34" i="2"/>
  <c r="D34" i="2"/>
  <c r="E34" i="2"/>
  <c r="F34" i="2"/>
  <c r="G34" i="2"/>
  <c r="C35" i="2"/>
  <c r="D35" i="2"/>
  <c r="E35" i="2"/>
  <c r="F35" i="2"/>
  <c r="G35" i="2"/>
  <c r="C36" i="2"/>
  <c r="D36" i="2"/>
  <c r="E36" i="2"/>
  <c r="F36" i="2"/>
  <c r="B36" i="2"/>
  <c r="B35" i="2"/>
  <c r="B34" i="2"/>
  <c r="B33" i="2"/>
  <c r="B31" i="2"/>
  <c r="C24" i="2"/>
  <c r="D24" i="2"/>
  <c r="B7" i="4" s="1"/>
  <c r="E24" i="2"/>
  <c r="C7" i="4" s="1"/>
  <c r="F24" i="2"/>
  <c r="D7" i="4" s="1"/>
  <c r="G24" i="2"/>
  <c r="E7" i="4" s="1"/>
  <c r="C25" i="2"/>
  <c r="D25" i="2"/>
  <c r="B8" i="4" s="1"/>
  <c r="E25" i="2"/>
  <c r="C8" i="4" s="1"/>
  <c r="F25" i="2"/>
  <c r="D8" i="4" s="1"/>
  <c r="G25" i="2"/>
  <c r="E8" i="4" s="1"/>
  <c r="B25" i="2"/>
  <c r="B24" i="2"/>
  <c r="C16" i="2"/>
  <c r="D16" i="2"/>
  <c r="E16" i="2"/>
  <c r="F16" i="2"/>
  <c r="C17" i="2"/>
  <c r="D17" i="2"/>
  <c r="E17" i="2"/>
  <c r="F17" i="2"/>
  <c r="G17" i="2"/>
  <c r="B17" i="2"/>
  <c r="B16" i="2"/>
  <c r="B4" i="2"/>
  <c r="C4" i="2"/>
  <c r="D4" i="2"/>
  <c r="E4" i="2"/>
  <c r="F4" i="2"/>
  <c r="G4" i="2"/>
  <c r="C8" i="2"/>
  <c r="D8" i="2"/>
  <c r="E8" i="2"/>
  <c r="F8" i="2"/>
  <c r="G8" i="2"/>
  <c r="C9" i="2"/>
  <c r="D9" i="2"/>
  <c r="E9" i="2"/>
  <c r="F9" i="2"/>
  <c r="G9" i="2"/>
  <c r="C10" i="2"/>
  <c r="D10" i="2"/>
  <c r="E10" i="2"/>
  <c r="F10" i="2"/>
  <c r="G10" i="2"/>
  <c r="B10" i="2"/>
  <c r="B9" i="2"/>
  <c r="B8" i="2"/>
  <c r="F48" i="4" l="1"/>
  <c r="I153" i="1"/>
  <c r="K166" i="1"/>
  <c r="G39" i="4"/>
  <c r="G66" i="1"/>
  <c r="H28" i="3"/>
  <c r="H153" i="1"/>
  <c r="E48" i="4"/>
  <c r="I44" i="4"/>
  <c r="K122" i="1"/>
  <c r="K37" i="1"/>
  <c r="K39" i="1" s="1"/>
  <c r="H14" i="3" s="1"/>
  <c r="H21" i="3" s="1"/>
  <c r="H13" i="3"/>
  <c r="H19" i="3" s="1"/>
  <c r="I62" i="2"/>
  <c r="I65" i="2" s="1"/>
  <c r="B39" i="4"/>
  <c r="E95" i="1"/>
  <c r="H39" i="4"/>
  <c r="H50" i="4"/>
  <c r="H19" i="1"/>
  <c r="G19" i="1"/>
  <c r="B8" i="3"/>
  <c r="E19" i="1"/>
  <c r="J7" i="11"/>
  <c r="J10" i="11" s="1"/>
  <c r="J13" i="11" s="1"/>
  <c r="J14" i="11" s="1"/>
  <c r="F19" i="1"/>
  <c r="D140" i="1"/>
  <c r="K65" i="2"/>
  <c r="J65" i="2"/>
  <c r="F7" i="11"/>
  <c r="F10" i="11" s="1"/>
  <c r="F13" i="11" s="1"/>
  <c r="F14" i="11" s="1"/>
  <c r="G13" i="3"/>
  <c r="G19" i="3" s="1"/>
  <c r="C11" i="7"/>
  <c r="H7" i="11"/>
  <c r="H10" i="11" s="1"/>
  <c r="H13" i="11" s="1"/>
  <c r="H14" i="11" s="1"/>
  <c r="I12" i="7"/>
  <c r="I13" i="7" s="1"/>
  <c r="H11" i="7"/>
  <c r="G61" i="3"/>
  <c r="G11" i="7"/>
  <c r="G12" i="7" s="1"/>
  <c r="G13" i="7" s="1"/>
  <c r="J26" i="2"/>
  <c r="H9" i="4" s="1"/>
  <c r="H23" i="2"/>
  <c r="K26" i="2"/>
  <c r="I9" i="4" s="1"/>
  <c r="G50" i="4"/>
  <c r="K44" i="2"/>
  <c r="K52" i="2" s="1"/>
  <c r="K45" i="2"/>
  <c r="J22" i="8"/>
  <c r="H12" i="7"/>
  <c r="H13" i="7" s="1"/>
  <c r="J122" i="1"/>
  <c r="G28" i="3"/>
  <c r="I20" i="8"/>
  <c r="I22" i="8" s="1"/>
  <c r="D63" i="1"/>
  <c r="H46" i="8"/>
  <c r="D51" i="4"/>
  <c r="G152" i="1"/>
  <c r="F44" i="1"/>
  <c r="F45" i="1" s="1"/>
  <c r="E122" i="1"/>
  <c r="B51" i="4" s="1"/>
  <c r="C140" i="1"/>
  <c r="B28" i="3"/>
  <c r="F122" i="1"/>
  <c r="C36" i="4" s="1"/>
  <c r="D50" i="4"/>
  <c r="C50" i="4"/>
  <c r="C28" i="3"/>
  <c r="H62" i="2"/>
  <c r="H65" i="2" s="1"/>
  <c r="F38" i="4"/>
  <c r="C17" i="3"/>
  <c r="E44" i="1"/>
  <c r="E45" i="1" s="1"/>
  <c r="B14" i="3"/>
  <c r="B21" i="3" s="1"/>
  <c r="D64" i="1"/>
  <c r="H22" i="8"/>
  <c r="E45" i="3"/>
  <c r="E17" i="3"/>
  <c r="D65" i="2"/>
  <c r="D62" i="3"/>
  <c r="D65" i="3" s="1"/>
  <c r="D67" i="3" s="1"/>
  <c r="G137" i="1"/>
  <c r="D35" i="4" s="1"/>
  <c r="G140" i="1"/>
  <c r="D55" i="3" s="1"/>
  <c r="F95" i="1"/>
  <c r="J95" i="1"/>
  <c r="K95" i="1"/>
  <c r="J37" i="1"/>
  <c r="J39" i="1" s="1"/>
  <c r="G14" i="3" s="1"/>
  <c r="G21" i="3" s="1"/>
  <c r="D12" i="7"/>
  <c r="D13" i="7" s="1"/>
  <c r="D46" i="8"/>
  <c r="E38" i="4"/>
  <c r="F8" i="3"/>
  <c r="E22" i="8"/>
  <c r="E46" i="8"/>
  <c r="C38" i="11"/>
  <c r="C47" i="11" s="1"/>
  <c r="C42" i="8" s="1"/>
  <c r="D22" i="8"/>
  <c r="F65" i="2"/>
  <c r="F17" i="3"/>
  <c r="F45" i="3"/>
  <c r="I30" i="1"/>
  <c r="I33" i="1" s="1"/>
  <c r="I35" i="1" s="1"/>
  <c r="J19" i="1"/>
  <c r="H30" i="1"/>
  <c r="H33" i="1" s="1"/>
  <c r="H35" i="1" s="1"/>
  <c r="H37" i="1" s="1"/>
  <c r="H39" i="1" s="1"/>
  <c r="E14" i="3" s="1"/>
  <c r="E21" i="3" s="1"/>
  <c r="I19" i="1"/>
  <c r="D28" i="3"/>
  <c r="E65" i="2"/>
  <c r="G95" i="1"/>
  <c r="G62" i="2"/>
  <c r="G65" i="2" s="1"/>
  <c r="F34" i="3"/>
  <c r="G44" i="1"/>
  <c r="G45" i="1" s="1"/>
  <c r="B9" i="7"/>
  <c r="I7" i="5"/>
  <c r="K14" i="7"/>
  <c r="L14" i="7"/>
  <c r="L16" i="7" s="1"/>
  <c r="L20" i="7" s="1"/>
  <c r="D62" i="1"/>
  <c r="F42" i="3"/>
  <c r="B50" i="4"/>
  <c r="F12" i="7"/>
  <c r="F13" i="7" s="1"/>
  <c r="J12" i="7"/>
  <c r="J13" i="7" s="1"/>
  <c r="E63" i="3"/>
  <c r="E22" i="3"/>
  <c r="H109" i="1"/>
  <c r="I109" i="1"/>
  <c r="F63" i="3"/>
  <c r="F22" i="3"/>
  <c r="D38" i="11"/>
  <c r="D47" i="11" s="1"/>
  <c r="D42" i="8" s="1"/>
  <c r="D32" i="11"/>
  <c r="C58" i="1"/>
  <c r="C60" i="1" s="1"/>
  <c r="C100" i="1" s="1"/>
  <c r="C101" i="1" s="1"/>
  <c r="C62" i="1"/>
  <c r="D100" i="1"/>
  <c r="D101" i="1" s="1"/>
  <c r="D61" i="1"/>
  <c r="A11" i="3"/>
  <c r="B26" i="9"/>
  <c r="B12" i="9"/>
  <c r="B16" i="9" s="1"/>
  <c r="D8" i="9"/>
  <c r="E8" i="9" s="1"/>
  <c r="D9" i="9"/>
  <c r="E9" i="9" s="1"/>
  <c r="D10" i="9"/>
  <c r="E10" i="9" s="1"/>
  <c r="D11" i="9"/>
  <c r="E11" i="9" s="1"/>
  <c r="D7" i="9"/>
  <c r="J152" i="1" l="1"/>
  <c r="H62" i="3"/>
  <c r="H68" i="3" s="1"/>
  <c r="K165" i="1"/>
  <c r="J157" i="1"/>
  <c r="K152" i="1"/>
  <c r="K168" i="1"/>
  <c r="L168" i="1"/>
  <c r="H36" i="4"/>
  <c r="J44" i="2"/>
  <c r="J52" i="2" s="1"/>
  <c r="J45" i="2"/>
  <c r="K137" i="1"/>
  <c r="H35" i="4" s="1"/>
  <c r="H51" i="4"/>
  <c r="H52" i="4" s="1"/>
  <c r="K140" i="1"/>
  <c r="H55" i="3" s="1"/>
  <c r="K44" i="1"/>
  <c r="K45" i="1" s="1"/>
  <c r="F151" i="1"/>
  <c r="F154" i="1"/>
  <c r="G151" i="1"/>
  <c r="G154" i="1"/>
  <c r="E151" i="1"/>
  <c r="E154" i="1"/>
  <c r="I26" i="2"/>
  <c r="G9" i="4" s="1"/>
  <c r="F10" i="4"/>
  <c r="J9" i="8"/>
  <c r="J33" i="8" s="1"/>
  <c r="J34" i="8" s="1"/>
  <c r="D52" i="4"/>
  <c r="I11" i="5"/>
  <c r="I17" i="5"/>
  <c r="H9" i="8"/>
  <c r="F9" i="8"/>
  <c r="E12" i="9"/>
  <c r="E16" i="9" s="1"/>
  <c r="H14" i="7"/>
  <c r="H16" i="7" s="1"/>
  <c r="H20" i="7" s="1"/>
  <c r="E7" i="5"/>
  <c r="F14" i="7"/>
  <c r="F15" i="7" s="1"/>
  <c r="J137" i="1"/>
  <c r="G35" i="4" s="1"/>
  <c r="G51" i="4"/>
  <c r="G52" i="4" s="1"/>
  <c r="G36" i="4"/>
  <c r="L7" i="5"/>
  <c r="I44" i="2"/>
  <c r="I52" i="2" s="1"/>
  <c r="K7" i="5"/>
  <c r="J7" i="5"/>
  <c r="I37" i="1"/>
  <c r="I39" i="1" s="1"/>
  <c r="F14" i="3" s="1"/>
  <c r="F21" i="3" s="1"/>
  <c r="B11" i="7"/>
  <c r="B12" i="7" s="1"/>
  <c r="B13" i="7" s="1"/>
  <c r="I45" i="2"/>
  <c r="J140" i="1"/>
  <c r="G62" i="3"/>
  <c r="G68" i="3" s="1"/>
  <c r="B36" i="4"/>
  <c r="E137" i="1"/>
  <c r="B35" i="4" s="1"/>
  <c r="G50" i="1"/>
  <c r="G54" i="1" s="1"/>
  <c r="G57" i="1" s="1"/>
  <c r="E50" i="1"/>
  <c r="B15" i="4" s="1"/>
  <c r="F50" i="1"/>
  <c r="B62" i="3"/>
  <c r="B68" i="3" s="1"/>
  <c r="E152" i="1"/>
  <c r="C51" i="4"/>
  <c r="C52" i="4" s="1"/>
  <c r="F152" i="1"/>
  <c r="E140" i="1"/>
  <c r="B41" i="4" s="1"/>
  <c r="D41" i="4"/>
  <c r="F140" i="1"/>
  <c r="C41" i="4" s="1"/>
  <c r="C62" i="3"/>
  <c r="C68" i="3" s="1"/>
  <c r="F137" i="1"/>
  <c r="C35" i="4" s="1"/>
  <c r="D68" i="3"/>
  <c r="D70" i="3" s="1"/>
  <c r="J44" i="1"/>
  <c r="J45" i="1" s="1"/>
  <c r="B52" i="4"/>
  <c r="H44" i="1"/>
  <c r="H45" i="1" s="1"/>
  <c r="E13" i="3"/>
  <c r="E19" i="3" s="1"/>
  <c r="F13" i="3"/>
  <c r="F19" i="3" s="1"/>
  <c r="C12" i="7"/>
  <c r="L15" i="7"/>
  <c r="K15" i="7"/>
  <c r="K16" i="7"/>
  <c r="K20" i="7" s="1"/>
  <c r="H122" i="1"/>
  <c r="E36" i="4" s="1"/>
  <c r="H66" i="1"/>
  <c r="F35" i="3"/>
  <c r="F23" i="3"/>
  <c r="F28" i="3"/>
  <c r="I122" i="1"/>
  <c r="I165" i="1" s="1"/>
  <c r="I66" i="1"/>
  <c r="E35" i="3"/>
  <c r="E36" i="3" s="1"/>
  <c r="E23" i="3"/>
  <c r="E28" i="3"/>
  <c r="C25" i="9"/>
  <c r="B21" i="5"/>
  <c r="C50" i="8" s="1"/>
  <c r="C59" i="2"/>
  <c r="C69" i="2"/>
  <c r="D12" i="9"/>
  <c r="D16" i="9" s="1"/>
  <c r="C23" i="9"/>
  <c r="C21" i="9"/>
  <c r="C24" i="9"/>
  <c r="C19" i="9"/>
  <c r="C22" i="9"/>
  <c r="C20" i="9"/>
  <c r="C61" i="1"/>
  <c r="C138" i="1"/>
  <c r="C141" i="1" s="1"/>
  <c r="C139" i="1"/>
  <c r="C102" i="1"/>
  <c r="D138" i="1"/>
  <c r="D141" i="1" s="1"/>
  <c r="D102" i="1"/>
  <c r="D139" i="1"/>
  <c r="C9" i="1"/>
  <c r="C12" i="1"/>
  <c r="B22" i="2" s="1"/>
  <c r="B23" i="2"/>
  <c r="B18" i="2"/>
  <c r="D9" i="1"/>
  <c r="E9" i="1"/>
  <c r="G9" i="1"/>
  <c r="F9" i="1"/>
  <c r="K9" i="1"/>
  <c r="J9" i="1"/>
  <c r="I9" i="1"/>
  <c r="H11" i="1"/>
  <c r="H65" i="3" l="1"/>
  <c r="H67" i="3" s="1"/>
  <c r="H70" i="3" s="1"/>
  <c r="K169" i="1"/>
  <c r="L169" i="1"/>
  <c r="L170" i="1" s="1"/>
  <c r="H41" i="4"/>
  <c r="K151" i="1"/>
  <c r="K50" i="1"/>
  <c r="H15" i="4" s="1"/>
  <c r="H44" i="4" s="1"/>
  <c r="J151" i="1"/>
  <c r="H151" i="1"/>
  <c r="H154" i="1"/>
  <c r="J10" i="8"/>
  <c r="J22" i="11" s="1"/>
  <c r="J25" i="11" s="1"/>
  <c r="J28" i="11" s="1"/>
  <c r="J29" i="11" s="1"/>
  <c r="H15" i="7"/>
  <c r="H19" i="7" s="1"/>
  <c r="D19" i="4"/>
  <c r="J37" i="11"/>
  <c r="J40" i="11" s="1"/>
  <c r="J43" i="11" s="1"/>
  <c r="J44" i="11" s="1"/>
  <c r="I7" i="11"/>
  <c r="I10" i="11" s="1"/>
  <c r="I13" i="11" s="1"/>
  <c r="I14" i="11" s="1"/>
  <c r="I9" i="8"/>
  <c r="E17" i="5"/>
  <c r="E11" i="5"/>
  <c r="H33" i="8"/>
  <c r="H34" i="8" s="1"/>
  <c r="H10" i="8"/>
  <c r="G7" i="5"/>
  <c r="F33" i="8"/>
  <c r="F34" i="8" s="1"/>
  <c r="F10" i="8"/>
  <c r="G7" i="11"/>
  <c r="G10" i="11" s="1"/>
  <c r="G13" i="11" s="1"/>
  <c r="G14" i="11" s="1"/>
  <c r="G9" i="8"/>
  <c r="E7" i="11"/>
  <c r="E10" i="11" s="1"/>
  <c r="E13" i="11" s="1"/>
  <c r="E14" i="11" s="1"/>
  <c r="E9" i="8"/>
  <c r="J14" i="7"/>
  <c r="J15" i="7" s="1"/>
  <c r="J17" i="7" s="1"/>
  <c r="I44" i="1"/>
  <c r="I45" i="1" s="1"/>
  <c r="I14" i="7"/>
  <c r="I16" i="7" s="1"/>
  <c r="I20" i="7" s="1"/>
  <c r="E14" i="7"/>
  <c r="K7" i="2"/>
  <c r="K28" i="2" s="1"/>
  <c r="F7" i="5"/>
  <c r="G14" i="7"/>
  <c r="K22" i="5"/>
  <c r="K23" i="5" s="1"/>
  <c r="K11" i="5"/>
  <c r="K15" i="5" s="1"/>
  <c r="J22" i="5"/>
  <c r="J23" i="5" s="1"/>
  <c r="J11" i="5"/>
  <c r="J15" i="5" s="1"/>
  <c r="L22" i="5"/>
  <c r="L23" i="5" s="1"/>
  <c r="L11" i="5"/>
  <c r="L15" i="5" s="1"/>
  <c r="C15" i="4"/>
  <c r="F54" i="1"/>
  <c r="F57" i="1" s="1"/>
  <c r="I15" i="5"/>
  <c r="G55" i="3"/>
  <c r="G41" i="4"/>
  <c r="G65" i="3"/>
  <c r="G67" i="3" s="1"/>
  <c r="G70" i="3" s="1"/>
  <c r="J50" i="1"/>
  <c r="F51" i="4"/>
  <c r="F36" i="4"/>
  <c r="D16" i="4"/>
  <c r="D15" i="4"/>
  <c r="E54" i="1"/>
  <c r="E57" i="1" s="1"/>
  <c r="H50" i="1"/>
  <c r="H54" i="1" s="1"/>
  <c r="G16" i="2" s="1"/>
  <c r="B65" i="3"/>
  <c r="B67" i="3" s="1"/>
  <c r="B70" i="3" s="1"/>
  <c r="B55" i="3"/>
  <c r="C65" i="3"/>
  <c r="C67" i="3" s="1"/>
  <c r="C70" i="3" s="1"/>
  <c r="C55" i="3"/>
  <c r="F16" i="7"/>
  <c r="F20" i="7" s="1"/>
  <c r="C13" i="7"/>
  <c r="F17" i="7"/>
  <c r="F19" i="7"/>
  <c r="L17" i="7"/>
  <c r="L19" i="7"/>
  <c r="K19" i="7"/>
  <c r="K17" i="7"/>
  <c r="F36" i="3"/>
  <c r="E51" i="4"/>
  <c r="H137" i="1"/>
  <c r="E62" i="3"/>
  <c r="I137" i="1"/>
  <c r="F62" i="3"/>
  <c r="E51" i="3"/>
  <c r="E52" i="3" s="1"/>
  <c r="H85" i="1"/>
  <c r="F51" i="3"/>
  <c r="I85" i="1"/>
  <c r="D17" i="4"/>
  <c r="G62" i="1"/>
  <c r="G64" i="1"/>
  <c r="G58" i="1"/>
  <c r="G60" i="1" s="1"/>
  <c r="G63" i="1"/>
  <c r="G5" i="2"/>
  <c r="E5" i="4"/>
  <c r="E5" i="3"/>
  <c r="C26" i="8"/>
  <c r="B55" i="2"/>
  <c r="B53" i="2"/>
  <c r="B48" i="2"/>
  <c r="B54" i="2"/>
  <c r="B49" i="2"/>
  <c r="B56" i="2"/>
  <c r="B50" i="2"/>
  <c r="G11" i="1"/>
  <c r="I11" i="1"/>
  <c r="J11" i="1" s="1"/>
  <c r="D12" i="1"/>
  <c r="C22" i="2" s="1"/>
  <c r="E12" i="1"/>
  <c r="F12" i="1"/>
  <c r="G12" i="1"/>
  <c r="H12" i="1"/>
  <c r="I12" i="1"/>
  <c r="J12" i="1"/>
  <c r="J159" i="1" s="1"/>
  <c r="K12" i="1"/>
  <c r="K159" i="1" s="1"/>
  <c r="K22" i="2"/>
  <c r="I6" i="4" s="1"/>
  <c r="C23" i="2"/>
  <c r="C26" i="2" s="1"/>
  <c r="E23" i="2"/>
  <c r="C10" i="4" s="1"/>
  <c r="F23" i="2"/>
  <c r="G23" i="2"/>
  <c r="E10" i="4" s="1"/>
  <c r="D23" i="2"/>
  <c r="C18" i="2"/>
  <c r="D18" i="2"/>
  <c r="E18" i="2"/>
  <c r="F18" i="2"/>
  <c r="G18" i="2"/>
  <c r="H22" i="2" l="1"/>
  <c r="I159" i="1"/>
  <c r="F35" i="4"/>
  <c r="E35" i="4"/>
  <c r="K54" i="1"/>
  <c r="H16" i="4" s="1"/>
  <c r="I151" i="1"/>
  <c r="B10" i="4"/>
  <c r="B44" i="4" s="1"/>
  <c r="J22" i="2"/>
  <c r="H6" i="4" s="1"/>
  <c r="H7" i="3"/>
  <c r="H11" i="3" s="1"/>
  <c r="H12" i="3" s="1"/>
  <c r="F26" i="2"/>
  <c r="D9" i="4" s="1"/>
  <c r="D10" i="4"/>
  <c r="D44" i="4" s="1"/>
  <c r="H17" i="7"/>
  <c r="J16" i="7"/>
  <c r="J20" i="7" s="1"/>
  <c r="H26" i="2"/>
  <c r="F9" i="4" s="1"/>
  <c r="K11" i="2"/>
  <c r="F17" i="5"/>
  <c r="F11" i="5"/>
  <c r="F15" i="5" s="1"/>
  <c r="K15" i="2"/>
  <c r="K20" i="2" s="1"/>
  <c r="D7" i="5"/>
  <c r="E33" i="8"/>
  <c r="E34" i="8" s="1"/>
  <c r="E10" i="8"/>
  <c r="E22" i="11" s="1"/>
  <c r="E25" i="11" s="1"/>
  <c r="E28" i="11" s="1"/>
  <c r="E29" i="11" s="1"/>
  <c r="G33" i="8"/>
  <c r="G34" i="8" s="1"/>
  <c r="G37" i="11" s="1"/>
  <c r="G40" i="11" s="1"/>
  <c r="G43" i="11" s="1"/>
  <c r="G44" i="11" s="1"/>
  <c r="G10" i="8"/>
  <c r="G22" i="11" s="1"/>
  <c r="G25" i="11" s="1"/>
  <c r="G28" i="11" s="1"/>
  <c r="G29" i="11" s="1"/>
  <c r="G17" i="5"/>
  <c r="G11" i="5"/>
  <c r="I33" i="8"/>
  <c r="I34" i="8" s="1"/>
  <c r="I37" i="11" s="1"/>
  <c r="I40" i="11" s="1"/>
  <c r="I43" i="11" s="1"/>
  <c r="I44" i="11" s="1"/>
  <c r="I10" i="8"/>
  <c r="I22" i="11" s="1"/>
  <c r="I25" i="11" s="1"/>
  <c r="I28" i="11" s="1"/>
  <c r="I29" i="11" s="1"/>
  <c r="H7" i="5"/>
  <c r="B17" i="4"/>
  <c r="B19" i="4"/>
  <c r="C17" i="4"/>
  <c r="C19" i="4"/>
  <c r="J19" i="7"/>
  <c r="C44" i="4"/>
  <c r="I15" i="7"/>
  <c r="I50" i="1"/>
  <c r="F15" i="4" s="1"/>
  <c r="F44" i="4" s="1"/>
  <c r="I22" i="5"/>
  <c r="I23" i="5" s="1"/>
  <c r="B6" i="7"/>
  <c r="H22" i="11"/>
  <c r="H25" i="11" s="1"/>
  <c r="H28" i="11" s="1"/>
  <c r="H29" i="11" s="1"/>
  <c r="H37" i="11"/>
  <c r="H40" i="11" s="1"/>
  <c r="H43" i="11" s="1"/>
  <c r="H44" i="11" s="1"/>
  <c r="K50" i="2"/>
  <c r="K55" i="2"/>
  <c r="K54" i="2"/>
  <c r="K56" i="2"/>
  <c r="K53" i="2"/>
  <c r="G15" i="7"/>
  <c r="G16" i="7"/>
  <c r="G20" i="7" s="1"/>
  <c r="G7" i="3"/>
  <c r="G11" i="3" s="1"/>
  <c r="G12" i="3" s="1"/>
  <c r="I22" i="2"/>
  <c r="J54" i="1"/>
  <c r="G15" i="4"/>
  <c r="G44" i="4" s="1"/>
  <c r="E15" i="4"/>
  <c r="E58" i="1"/>
  <c r="E60" i="1" s="1"/>
  <c r="E61" i="1" s="1"/>
  <c r="B16" i="4"/>
  <c r="F64" i="1"/>
  <c r="F63" i="1"/>
  <c r="F62" i="1"/>
  <c r="F58" i="1"/>
  <c r="F60" i="1" s="1"/>
  <c r="F61" i="1" s="1"/>
  <c r="E16" i="4"/>
  <c r="H57" i="1"/>
  <c r="C16" i="4"/>
  <c r="H5" i="2"/>
  <c r="F5" i="4"/>
  <c r="B22" i="4"/>
  <c r="H54" i="2"/>
  <c r="H56" i="2"/>
  <c r="F6" i="4"/>
  <c r="H53" i="2"/>
  <c r="H55" i="2"/>
  <c r="H50" i="2"/>
  <c r="D22" i="2"/>
  <c r="B6" i="4" s="1"/>
  <c r="B7" i="3"/>
  <c r="B11" i="3" s="1"/>
  <c r="B12" i="3" s="1"/>
  <c r="E22" i="2"/>
  <c r="C6" i="4" s="1"/>
  <c r="C7" i="3"/>
  <c r="C11" i="3" s="1"/>
  <c r="C12" i="3" s="1"/>
  <c r="F37" i="11"/>
  <c r="F40" i="11" s="1"/>
  <c r="F43" i="11" s="1"/>
  <c r="F44" i="11" s="1"/>
  <c r="F22" i="11"/>
  <c r="F25" i="11" s="1"/>
  <c r="F28" i="11" s="1"/>
  <c r="F29" i="11" s="1"/>
  <c r="E16" i="7"/>
  <c r="E20" i="7" s="1"/>
  <c r="E15" i="7"/>
  <c r="E25" i="4"/>
  <c r="G36" i="2"/>
  <c r="F52" i="3"/>
  <c r="F22" i="5"/>
  <c r="F23" i="5" s="1"/>
  <c r="F66" i="3"/>
  <c r="I86" i="1"/>
  <c r="E66" i="3"/>
  <c r="H86" i="1"/>
  <c r="H152" i="1" s="1"/>
  <c r="E65" i="3"/>
  <c r="E68" i="3"/>
  <c r="F65" i="3"/>
  <c r="F68" i="3"/>
  <c r="F7" i="3"/>
  <c r="G22" i="2"/>
  <c r="E6" i="4" s="1"/>
  <c r="E7" i="3"/>
  <c r="E11" i="3" s="1"/>
  <c r="E12" i="3" s="1"/>
  <c r="F22" i="2"/>
  <c r="D6" i="4" s="1"/>
  <c r="D7" i="3"/>
  <c r="D11" i="3" s="1"/>
  <c r="D12" i="3" s="1"/>
  <c r="G61" i="1"/>
  <c r="D5" i="4"/>
  <c r="D5" i="3"/>
  <c r="F5" i="3"/>
  <c r="C50" i="2"/>
  <c r="C53" i="2"/>
  <c r="C54" i="2"/>
  <c r="C49" i="2"/>
  <c r="C48" i="2"/>
  <c r="C56" i="2"/>
  <c r="C55" i="2"/>
  <c r="B45" i="2"/>
  <c r="B44" i="2"/>
  <c r="D26" i="2"/>
  <c r="B9" i="4" s="1"/>
  <c r="B7" i="2"/>
  <c r="G26" i="2"/>
  <c r="E9" i="4" s="1"/>
  <c r="E26" i="2"/>
  <c r="C9" i="4" s="1"/>
  <c r="F11" i="1"/>
  <c r="F5" i="2"/>
  <c r="I166" i="1" l="1"/>
  <c r="I152" i="1"/>
  <c r="J54" i="2"/>
  <c r="J56" i="2"/>
  <c r="E19" i="4"/>
  <c r="J7" i="2"/>
  <c r="J28" i="2" s="1"/>
  <c r="D7" i="11"/>
  <c r="D10" i="11" s="1"/>
  <c r="D13" i="11" s="1"/>
  <c r="D14" i="11" s="1"/>
  <c r="D9" i="8"/>
  <c r="D10" i="8" s="1"/>
  <c r="D22" i="11" s="1"/>
  <c r="D25" i="11" s="1"/>
  <c r="D28" i="11" s="1"/>
  <c r="D29" i="11" s="1"/>
  <c r="D14" i="7"/>
  <c r="D15" i="7" s="1"/>
  <c r="D19" i="7" s="1"/>
  <c r="K57" i="1"/>
  <c r="J53" i="2"/>
  <c r="J50" i="2"/>
  <c r="J55" i="2"/>
  <c r="D55" i="2"/>
  <c r="E53" i="2"/>
  <c r="K19" i="2"/>
  <c r="I20" i="4" s="1"/>
  <c r="C6" i="11"/>
  <c r="C21" i="11" s="1"/>
  <c r="C36" i="11" s="1"/>
  <c r="B6" i="5"/>
  <c r="B19" i="5" s="1"/>
  <c r="C6" i="8"/>
  <c r="C30" i="8" s="1"/>
  <c r="K46" i="2"/>
  <c r="H11" i="5"/>
  <c r="H15" i="5" s="1"/>
  <c r="H17" i="5"/>
  <c r="H22" i="5"/>
  <c r="H23" i="5" s="1"/>
  <c r="D11" i="5"/>
  <c r="D17" i="5"/>
  <c r="J57" i="1"/>
  <c r="C9" i="8"/>
  <c r="C7" i="11"/>
  <c r="C10" i="11" s="1"/>
  <c r="E39" i="4"/>
  <c r="F39" i="4"/>
  <c r="I54" i="1"/>
  <c r="I19" i="7"/>
  <c r="I17" i="7"/>
  <c r="G6" i="4"/>
  <c r="I50" i="2"/>
  <c r="I55" i="2"/>
  <c r="I56" i="2"/>
  <c r="I54" i="2"/>
  <c r="I53" i="2"/>
  <c r="G15" i="5"/>
  <c r="G22" i="5"/>
  <c r="G23" i="5" s="1"/>
  <c r="G5" i="3"/>
  <c r="C6" i="7"/>
  <c r="G5" i="4"/>
  <c r="I5" i="2"/>
  <c r="G17" i="7"/>
  <c r="G19" i="7"/>
  <c r="G16" i="4"/>
  <c r="I7" i="2"/>
  <c r="C14" i="7"/>
  <c r="C15" i="7" s="1"/>
  <c r="E44" i="4"/>
  <c r="D53" i="2"/>
  <c r="H58" i="1"/>
  <c r="H60" i="1" s="1"/>
  <c r="H62" i="1"/>
  <c r="E17" i="4"/>
  <c r="H64" i="1"/>
  <c r="H63" i="1"/>
  <c r="D56" i="2"/>
  <c r="C5" i="4"/>
  <c r="C5" i="3"/>
  <c r="E50" i="2"/>
  <c r="C22" i="4"/>
  <c r="D50" i="2"/>
  <c r="D54" i="2"/>
  <c r="D22" i="4"/>
  <c r="E54" i="2"/>
  <c r="E56" i="2"/>
  <c r="E55" i="2"/>
  <c r="H44" i="2"/>
  <c r="H52" i="2" s="1"/>
  <c r="H45" i="2"/>
  <c r="F50" i="4"/>
  <c r="F52" i="4" s="1"/>
  <c r="G50" i="2"/>
  <c r="D22" i="5"/>
  <c r="D23" i="5" s="1"/>
  <c r="E37" i="11"/>
  <c r="E40" i="11" s="1"/>
  <c r="E43" i="11" s="1"/>
  <c r="E44" i="11" s="1"/>
  <c r="E19" i="7"/>
  <c r="E17" i="7"/>
  <c r="E22" i="7" s="1"/>
  <c r="E21" i="7"/>
  <c r="E22" i="5"/>
  <c r="E23" i="5" s="1"/>
  <c r="E15" i="5"/>
  <c r="G53" i="2"/>
  <c r="F54" i="2"/>
  <c r="F55" i="2"/>
  <c r="E67" i="3"/>
  <c r="E70" i="3" s="1"/>
  <c r="G55" i="2"/>
  <c r="F50" i="2"/>
  <c r="F53" i="2"/>
  <c r="F56" i="2"/>
  <c r="F11" i="3"/>
  <c r="F67" i="3"/>
  <c r="E50" i="4"/>
  <c r="E52" i="4" s="1"/>
  <c r="H95" i="1"/>
  <c r="H140" i="1"/>
  <c r="I95" i="1"/>
  <c r="I140" i="1"/>
  <c r="F41" i="4" s="1"/>
  <c r="G54" i="2"/>
  <c r="G56" i="2"/>
  <c r="F101" i="1"/>
  <c r="C47" i="4" s="1"/>
  <c r="E101" i="1"/>
  <c r="K11" i="1"/>
  <c r="L11" i="1" s="1"/>
  <c r="B52" i="2"/>
  <c r="B66" i="2"/>
  <c r="C58" i="2" s="1"/>
  <c r="C61" i="2" s="1"/>
  <c r="C66" i="2" s="1"/>
  <c r="D58" i="2" s="1"/>
  <c r="C44" i="2"/>
  <c r="C52" i="2" s="1"/>
  <c r="C45" i="2"/>
  <c r="D44" i="2"/>
  <c r="D52" i="2" s="1"/>
  <c r="D45" i="2"/>
  <c r="E44" i="2"/>
  <c r="E52" i="2" s="1"/>
  <c r="E45" i="2"/>
  <c r="F45" i="2"/>
  <c r="F44" i="2"/>
  <c r="F52" i="2" s="1"/>
  <c r="G44" i="2"/>
  <c r="G52" i="2" s="1"/>
  <c r="G45" i="2"/>
  <c r="F15" i="2"/>
  <c r="F46" i="2" s="1"/>
  <c r="F7" i="2"/>
  <c r="E15" i="2"/>
  <c r="E46" i="2" s="1"/>
  <c r="E7" i="2"/>
  <c r="E11" i="1"/>
  <c r="B5" i="3" s="1"/>
  <c r="E5" i="2"/>
  <c r="D15" i="2"/>
  <c r="D7" i="2"/>
  <c r="B11" i="2"/>
  <c r="B28" i="2"/>
  <c r="C7" i="2"/>
  <c r="G15" i="2"/>
  <c r="G46" i="2" s="1"/>
  <c r="G7" i="2"/>
  <c r="B15" i="2"/>
  <c r="B46" i="2" s="1"/>
  <c r="J64" i="1" l="1"/>
  <c r="J154" i="1"/>
  <c r="K64" i="1"/>
  <c r="K154" i="1"/>
  <c r="H101" i="1"/>
  <c r="B42" i="4"/>
  <c r="B47" i="4"/>
  <c r="B49" i="4" s="1"/>
  <c r="I5" i="3"/>
  <c r="I5" i="4"/>
  <c r="K63" i="1"/>
  <c r="K32" i="2"/>
  <c r="J15" i="2"/>
  <c r="J46" i="2" s="1"/>
  <c r="D17" i="7"/>
  <c r="C7" i="5"/>
  <c r="C17" i="5" s="1"/>
  <c r="H19" i="4"/>
  <c r="H17" i="4"/>
  <c r="J11" i="2"/>
  <c r="D33" i="8"/>
  <c r="D34" i="8" s="1"/>
  <c r="D37" i="11" s="1"/>
  <c r="D40" i="11" s="1"/>
  <c r="D43" i="11" s="1"/>
  <c r="D44" i="11" s="1"/>
  <c r="K58" i="1"/>
  <c r="K60" i="1" s="1"/>
  <c r="D16" i="7"/>
  <c r="D20" i="7" s="1"/>
  <c r="K62" i="1"/>
  <c r="H5" i="4"/>
  <c r="H5" i="3"/>
  <c r="J62" i="1"/>
  <c r="I15" i="2"/>
  <c r="I46" i="2" s="1"/>
  <c r="J58" i="1"/>
  <c r="J60" i="1" s="1"/>
  <c r="J61" i="1" s="1"/>
  <c r="G17" i="4"/>
  <c r="C26" i="4"/>
  <c r="C28" i="4" s="1"/>
  <c r="C42" i="4"/>
  <c r="D6" i="11"/>
  <c r="D21" i="11" s="1"/>
  <c r="D36" i="11" s="1"/>
  <c r="C6" i="5"/>
  <c r="C19" i="5" s="1"/>
  <c r="D6" i="8"/>
  <c r="D30" i="8" s="1"/>
  <c r="J63" i="1"/>
  <c r="G19" i="4"/>
  <c r="B7" i="5"/>
  <c r="C33" i="8"/>
  <c r="C34" i="8" s="1"/>
  <c r="C37" i="11" s="1"/>
  <c r="C40" i="11" s="1"/>
  <c r="C42" i="11" s="1"/>
  <c r="C45" i="11" s="1"/>
  <c r="C10" i="8"/>
  <c r="C22" i="11" s="1"/>
  <c r="C25" i="11" s="1"/>
  <c r="C28" i="11" s="1"/>
  <c r="C29" i="11" s="1"/>
  <c r="I57" i="1"/>
  <c r="I154" i="1" s="1"/>
  <c r="C16" i="7"/>
  <c r="C20" i="7" s="1"/>
  <c r="B14" i="7"/>
  <c r="B16" i="7" s="1"/>
  <c r="B20" i="7" s="1"/>
  <c r="F16" i="4"/>
  <c r="C12" i="11"/>
  <c r="H7" i="2"/>
  <c r="H11" i="2" s="1"/>
  <c r="B43" i="4"/>
  <c r="D6" i="7"/>
  <c r="J5" i="2"/>
  <c r="C43" i="4"/>
  <c r="I28" i="2"/>
  <c r="I11" i="2"/>
  <c r="H61" i="1"/>
  <c r="F70" i="3"/>
  <c r="D46" i="2"/>
  <c r="D20" i="2"/>
  <c r="D19" i="2"/>
  <c r="B20" i="4" s="1"/>
  <c r="E22" i="4"/>
  <c r="G101" i="1"/>
  <c r="B59" i="3"/>
  <c r="B56" i="3"/>
  <c r="B57" i="3"/>
  <c r="B58" i="3"/>
  <c r="C57" i="3"/>
  <c r="C58" i="3"/>
  <c r="C56" i="3"/>
  <c r="C59" i="3"/>
  <c r="B5" i="4"/>
  <c r="D5" i="2"/>
  <c r="D15" i="5"/>
  <c r="C17" i="7"/>
  <c r="C19" i="7"/>
  <c r="F12" i="3"/>
  <c r="E41" i="4"/>
  <c r="E55" i="3"/>
  <c r="F55" i="3"/>
  <c r="C49" i="4"/>
  <c r="F138" i="1"/>
  <c r="F141" i="1" s="1"/>
  <c r="F102" i="1"/>
  <c r="F139" i="1"/>
  <c r="E49" i="2"/>
  <c r="E48" i="2"/>
  <c r="D59" i="2"/>
  <c r="D61" i="2" s="1"/>
  <c r="D66" i="2" s="1"/>
  <c r="E58" i="2" s="1"/>
  <c r="E69" i="2"/>
  <c r="B26" i="4"/>
  <c r="B28" i="4" s="1"/>
  <c r="E59" i="2"/>
  <c r="D69" i="2"/>
  <c r="E139" i="1"/>
  <c r="E138" i="1"/>
  <c r="E141" i="1" s="1"/>
  <c r="E102" i="1"/>
  <c r="E146" i="1" s="1"/>
  <c r="D49" i="2"/>
  <c r="D48" i="2"/>
  <c r="C11" i="2"/>
  <c r="C28" i="2"/>
  <c r="D11" i="2"/>
  <c r="D28" i="2"/>
  <c r="E11" i="2"/>
  <c r="E28" i="2"/>
  <c r="F11" i="2"/>
  <c r="F28" i="2"/>
  <c r="G11" i="2"/>
  <c r="G28" i="2"/>
  <c r="B20" i="2"/>
  <c r="B19" i="2"/>
  <c r="D11" i="1"/>
  <c r="C11" i="1" s="1"/>
  <c r="C15" i="2"/>
  <c r="C46" i="2" s="1"/>
  <c r="E19" i="2"/>
  <c r="C20" i="4" s="1"/>
  <c r="E20" i="2"/>
  <c r="G20" i="2"/>
  <c r="G19" i="2"/>
  <c r="E20" i="4" s="1"/>
  <c r="F20" i="2"/>
  <c r="F19" i="2"/>
  <c r="D20" i="4" s="1"/>
  <c r="J162" i="1" l="1"/>
  <c r="J170" i="1" s="1"/>
  <c r="K61" i="1"/>
  <c r="K162" i="1"/>
  <c r="K170" i="1" s="1"/>
  <c r="C11" i="5"/>
  <c r="J19" i="2"/>
  <c r="H20" i="4" s="1"/>
  <c r="D42" i="4"/>
  <c r="D47" i="4"/>
  <c r="D49" i="4" s="1"/>
  <c r="L101" i="1"/>
  <c r="J20" i="2"/>
  <c r="K37" i="2"/>
  <c r="K38" i="2"/>
  <c r="I20" i="2"/>
  <c r="I19" i="2"/>
  <c r="G20" i="4" s="1"/>
  <c r="G22" i="4"/>
  <c r="I32" i="2"/>
  <c r="E6" i="11"/>
  <c r="E21" i="11" s="1"/>
  <c r="E36" i="11" s="1"/>
  <c r="E6" i="8"/>
  <c r="E30" i="8" s="1"/>
  <c r="D6" i="5"/>
  <c r="D19" i="5" s="1"/>
  <c r="C26" i="11"/>
  <c r="D26" i="11" s="1"/>
  <c r="E26" i="11" s="1"/>
  <c r="F27" i="11" s="1"/>
  <c r="F30" i="11" s="1"/>
  <c r="F31" i="11" s="1"/>
  <c r="C15" i="11"/>
  <c r="D12" i="11"/>
  <c r="B17" i="5"/>
  <c r="B11" i="5"/>
  <c r="C27" i="11"/>
  <c r="C30" i="11" s="1"/>
  <c r="C31" i="11" s="1"/>
  <c r="C11" i="8" s="1"/>
  <c r="C12" i="8" s="1"/>
  <c r="C15" i="8" s="1"/>
  <c r="C19" i="8" s="1"/>
  <c r="F19" i="4"/>
  <c r="I62" i="1"/>
  <c r="H28" i="2"/>
  <c r="B15" i="7"/>
  <c r="I58" i="1"/>
  <c r="I60" i="1" s="1"/>
  <c r="I63" i="1"/>
  <c r="F17" i="4"/>
  <c r="C13" i="11"/>
  <c r="C14" i="11" s="1"/>
  <c r="I64" i="1"/>
  <c r="H15" i="2"/>
  <c r="H19" i="2" s="1"/>
  <c r="F20" i="4" s="1"/>
  <c r="C11" i="11"/>
  <c r="D11" i="11" s="1"/>
  <c r="E11" i="11" s="1"/>
  <c r="F11" i="11" s="1"/>
  <c r="G11" i="11" s="1"/>
  <c r="H11" i="11" s="1"/>
  <c r="I11" i="11" s="1"/>
  <c r="J11" i="11" s="1"/>
  <c r="C43" i="11"/>
  <c r="C44" i="11" s="1"/>
  <c r="C46" i="11" s="1"/>
  <c r="C35" i="8" s="1"/>
  <c r="C36" i="8" s="1"/>
  <c r="C39" i="8" s="1"/>
  <c r="C43" i="8" s="1"/>
  <c r="C51" i="8" s="1"/>
  <c r="C41" i="11"/>
  <c r="D41" i="11" s="1"/>
  <c r="E42" i="11" s="1"/>
  <c r="E45" i="11" s="1"/>
  <c r="E46" i="11" s="1"/>
  <c r="E6" i="7"/>
  <c r="K5" i="2"/>
  <c r="D59" i="3"/>
  <c r="D43" i="4"/>
  <c r="C46" i="4"/>
  <c r="C45" i="4"/>
  <c r="B46" i="4"/>
  <c r="B45" i="4"/>
  <c r="D26" i="4"/>
  <c r="D28" i="4" s="1"/>
  <c r="G139" i="1"/>
  <c r="D69" i="3" s="1"/>
  <c r="D71" i="3" s="1"/>
  <c r="F59" i="2"/>
  <c r="D56" i="3"/>
  <c r="F69" i="2"/>
  <c r="F48" i="2"/>
  <c r="G138" i="1"/>
  <c r="G141" i="1" s="1"/>
  <c r="D57" i="3"/>
  <c r="F49" i="2"/>
  <c r="D58" i="3"/>
  <c r="E47" i="4"/>
  <c r="G102" i="1"/>
  <c r="C40" i="4"/>
  <c r="C69" i="3"/>
  <c r="C71" i="3" s="1"/>
  <c r="C54" i="3"/>
  <c r="B40" i="4"/>
  <c r="B69" i="3"/>
  <c r="B71" i="3" s="1"/>
  <c r="B54" i="3"/>
  <c r="C22" i="5"/>
  <c r="C23" i="5" s="1"/>
  <c r="E61" i="2"/>
  <c r="E66" i="2" s="1"/>
  <c r="F58" i="2" s="1"/>
  <c r="G32" i="2"/>
  <c r="E32" i="2"/>
  <c r="D32" i="2"/>
  <c r="B32" i="2"/>
  <c r="C20" i="2"/>
  <c r="C19" i="2"/>
  <c r="B5" i="2"/>
  <c r="C5" i="2"/>
  <c r="I61" i="1" l="1"/>
  <c r="I162" i="1"/>
  <c r="B16" i="5"/>
  <c r="K12" i="2"/>
  <c r="K13" i="2" s="1"/>
  <c r="K29" i="2" s="1"/>
  <c r="I47" i="4"/>
  <c r="I49" i="4" s="1"/>
  <c r="I58" i="3"/>
  <c r="I42" i="4"/>
  <c r="I26" i="4"/>
  <c r="I28" i="4" s="1"/>
  <c r="I56" i="3"/>
  <c r="I43" i="4"/>
  <c r="I57" i="3"/>
  <c r="I59" i="3"/>
  <c r="L138" i="1"/>
  <c r="L141" i="1" s="1"/>
  <c r="L102" i="1"/>
  <c r="L146" i="1" s="1"/>
  <c r="L139" i="1"/>
  <c r="K49" i="2"/>
  <c r="K48" i="2"/>
  <c r="K71" i="2"/>
  <c r="K41" i="2"/>
  <c r="K39" i="2"/>
  <c r="K40" i="2"/>
  <c r="K42" i="2"/>
  <c r="C16" i="11"/>
  <c r="I38" i="2"/>
  <c r="I37" i="2"/>
  <c r="J32" i="2"/>
  <c r="H22" i="4"/>
  <c r="E42" i="4"/>
  <c r="F6" i="11"/>
  <c r="F21" i="11" s="1"/>
  <c r="F36" i="11" s="1"/>
  <c r="F6" i="8"/>
  <c r="F30" i="8" s="1"/>
  <c r="E6" i="5"/>
  <c r="E19" i="5" s="1"/>
  <c r="F26" i="11"/>
  <c r="G26" i="11" s="1"/>
  <c r="E27" i="11"/>
  <c r="E30" i="11" s="1"/>
  <c r="E31" i="11" s="1"/>
  <c r="E11" i="8" s="1"/>
  <c r="E12" i="8" s="1"/>
  <c r="E15" i="8" s="1"/>
  <c r="E19" i="8" s="1"/>
  <c r="D27" i="11"/>
  <c r="D30" i="11" s="1"/>
  <c r="D31" i="11" s="1"/>
  <c r="D11" i="8" s="1"/>
  <c r="D12" i="8" s="1"/>
  <c r="D15" i="8" s="1"/>
  <c r="D19" i="8" s="1"/>
  <c r="D15" i="11"/>
  <c r="D16" i="11" s="1"/>
  <c r="E12" i="11"/>
  <c r="C27" i="8"/>
  <c r="C23" i="8"/>
  <c r="E35" i="8"/>
  <c r="E36" i="8" s="1"/>
  <c r="E39" i="8" s="1"/>
  <c r="E43" i="8" s="1"/>
  <c r="E51" i="8" s="1"/>
  <c r="F11" i="8"/>
  <c r="F12" i="8" s="1"/>
  <c r="F15" i="8" s="1"/>
  <c r="F19" i="8" s="1"/>
  <c r="B22" i="5"/>
  <c r="B23" i="5" s="1"/>
  <c r="M23" i="5" s="1"/>
  <c r="B24" i="5" s="1"/>
  <c r="B15" i="5"/>
  <c r="H20" i="2"/>
  <c r="H46" i="2"/>
  <c r="B17" i="7"/>
  <c r="B19" i="7"/>
  <c r="C47" i="8"/>
  <c r="D42" i="11"/>
  <c r="D45" i="11" s="1"/>
  <c r="D46" i="11" s="1"/>
  <c r="F6" i="7"/>
  <c r="G59" i="2"/>
  <c r="E43" i="4"/>
  <c r="E41" i="11"/>
  <c r="F42" i="11" s="1"/>
  <c r="F45" i="11" s="1"/>
  <c r="F46" i="11" s="1"/>
  <c r="D46" i="4"/>
  <c r="D45" i="4"/>
  <c r="F61" i="2"/>
  <c r="F66" i="2" s="1"/>
  <c r="G58" i="2" s="1"/>
  <c r="D54" i="3"/>
  <c r="D40" i="4"/>
  <c r="H138" i="1"/>
  <c r="H141" i="1" s="1"/>
  <c r="E58" i="3"/>
  <c r="E49" i="4"/>
  <c r="E57" i="3"/>
  <c r="E59" i="3"/>
  <c r="H139" i="1"/>
  <c r="E54" i="3" s="1"/>
  <c r="E56" i="3"/>
  <c r="E26" i="4"/>
  <c r="E28" i="4" s="1"/>
  <c r="G69" i="2"/>
  <c r="H102" i="1"/>
  <c r="H146" i="1" s="1"/>
  <c r="G49" i="2"/>
  <c r="G48" i="2"/>
  <c r="F22" i="4"/>
  <c r="C73" i="3"/>
  <c r="C72" i="3"/>
  <c r="C74" i="3" s="1"/>
  <c r="J101" i="1"/>
  <c r="H32" i="2"/>
  <c r="B73" i="3"/>
  <c r="B72" i="3"/>
  <c r="B74" i="3" s="1"/>
  <c r="K101" i="1"/>
  <c r="H47" i="4" s="1"/>
  <c r="I101" i="1"/>
  <c r="C15" i="5"/>
  <c r="D72" i="3"/>
  <c r="D74" i="3" s="1"/>
  <c r="D73" i="3"/>
  <c r="E12" i="2"/>
  <c r="E13" i="2" s="1"/>
  <c r="E29" i="2" s="1"/>
  <c r="F32" i="2"/>
  <c r="F38" i="2" s="1"/>
  <c r="F71" i="2" s="1"/>
  <c r="G68" i="2" s="1"/>
  <c r="G12" i="2"/>
  <c r="G13" i="2" s="1"/>
  <c r="G29" i="2" s="1"/>
  <c r="D12" i="2"/>
  <c r="D13" i="2" s="1"/>
  <c r="D29" i="2" s="1"/>
  <c r="G37" i="2"/>
  <c r="G38" i="2"/>
  <c r="G71" i="2" s="1"/>
  <c r="B37" i="2"/>
  <c r="B38" i="2"/>
  <c r="B71" i="2" s="1"/>
  <c r="C68" i="2" s="1"/>
  <c r="D37" i="2"/>
  <c r="D38" i="2"/>
  <c r="D71" i="2" s="1"/>
  <c r="E68" i="2" s="1"/>
  <c r="E37" i="2"/>
  <c r="E38" i="2"/>
  <c r="E71" i="2" s="1"/>
  <c r="F68" i="2" s="1"/>
  <c r="F12" i="2"/>
  <c r="F13" i="2" s="1"/>
  <c r="F29" i="2" s="1"/>
  <c r="B12" i="2"/>
  <c r="B13" i="2" s="1"/>
  <c r="B29" i="2" s="1"/>
  <c r="C146" i="1"/>
  <c r="C32" i="2"/>
  <c r="G42" i="4" l="1"/>
  <c r="G47" i="4"/>
  <c r="G49" i="4" s="1"/>
  <c r="F42" i="4"/>
  <c r="F47" i="4"/>
  <c r="F49" i="4" s="1"/>
  <c r="I46" i="4"/>
  <c r="I45" i="4"/>
  <c r="I69" i="3"/>
  <c r="I71" i="3" s="1"/>
  <c r="I40" i="4"/>
  <c r="I54" i="3"/>
  <c r="H59" i="3"/>
  <c r="H58" i="3"/>
  <c r="H57" i="3"/>
  <c r="H56" i="3"/>
  <c r="I42" i="2"/>
  <c r="I40" i="2"/>
  <c r="I41" i="2"/>
  <c r="I39" i="2"/>
  <c r="I71" i="2"/>
  <c r="J68" i="2" s="1"/>
  <c r="J38" i="2"/>
  <c r="J37" i="2"/>
  <c r="H26" i="4"/>
  <c r="H28" i="4" s="1"/>
  <c r="H49" i="4"/>
  <c r="H43" i="4"/>
  <c r="H42" i="4"/>
  <c r="H68" i="2"/>
  <c r="G6" i="11"/>
  <c r="G21" i="11" s="1"/>
  <c r="G36" i="11" s="1"/>
  <c r="G6" i="8"/>
  <c r="G30" i="8" s="1"/>
  <c r="F6" i="5"/>
  <c r="F19" i="5" s="1"/>
  <c r="G27" i="11"/>
  <c r="G30" i="11" s="1"/>
  <c r="G31" i="11" s="1"/>
  <c r="G11" i="8" s="1"/>
  <c r="G12" i="8" s="1"/>
  <c r="G15" i="8" s="1"/>
  <c r="G19" i="8" s="1"/>
  <c r="E15" i="11"/>
  <c r="E16" i="11" s="1"/>
  <c r="F12" i="11"/>
  <c r="F27" i="8"/>
  <c r="F23" i="8"/>
  <c r="F35" i="8"/>
  <c r="F36" i="8" s="1"/>
  <c r="F39" i="8" s="1"/>
  <c r="F43" i="8" s="1"/>
  <c r="E47" i="8"/>
  <c r="D35" i="8"/>
  <c r="D36" i="8" s="1"/>
  <c r="D39" i="8" s="1"/>
  <c r="D43" i="8" s="1"/>
  <c r="D27" i="8"/>
  <c r="D23" i="8"/>
  <c r="E27" i="8"/>
  <c r="E23" i="8"/>
  <c r="K51" i="8"/>
  <c r="C52" i="8" s="1"/>
  <c r="G61" i="2"/>
  <c r="G66" i="2" s="1"/>
  <c r="G6" i="7"/>
  <c r="F43" i="4"/>
  <c r="J69" i="2"/>
  <c r="J59" i="2"/>
  <c r="J12" i="2"/>
  <c r="J13" i="2" s="1"/>
  <c r="J29" i="2" s="1"/>
  <c r="J48" i="2"/>
  <c r="J49" i="2"/>
  <c r="K59" i="2"/>
  <c r="K69" i="2"/>
  <c r="G26" i="4"/>
  <c r="G28" i="4" s="1"/>
  <c r="I69" i="2"/>
  <c r="I59" i="2"/>
  <c r="I12" i="2"/>
  <c r="I13" i="2" s="1"/>
  <c r="I29" i="2" s="1"/>
  <c r="G43" i="4"/>
  <c r="I48" i="2"/>
  <c r="I49" i="2"/>
  <c r="F41" i="11"/>
  <c r="G42" i="11" s="1"/>
  <c r="G45" i="11" s="1"/>
  <c r="G46" i="11" s="1"/>
  <c r="G56" i="3"/>
  <c r="G58" i="3"/>
  <c r="G57" i="3"/>
  <c r="G59" i="3"/>
  <c r="E45" i="4"/>
  <c r="E46" i="4"/>
  <c r="E40" i="4"/>
  <c r="E69" i="3"/>
  <c r="E71" i="3" s="1"/>
  <c r="E73" i="3" s="1"/>
  <c r="H38" i="2"/>
  <c r="H37" i="2"/>
  <c r="F26" i="4"/>
  <c r="F28" i="4" s="1"/>
  <c r="H59" i="2"/>
  <c r="H12" i="2"/>
  <c r="H13" i="2" s="1"/>
  <c r="H29" i="2" s="1"/>
  <c r="H69" i="2"/>
  <c r="H49" i="2"/>
  <c r="H48" i="2"/>
  <c r="I138" i="1"/>
  <c r="I141" i="1" s="1"/>
  <c r="I139" i="1"/>
  <c r="K138" i="1"/>
  <c r="K141" i="1" s="1"/>
  <c r="K102" i="1"/>
  <c r="K139" i="1"/>
  <c r="J102" i="1"/>
  <c r="J138" i="1"/>
  <c r="J141" i="1" s="1"/>
  <c r="J139" i="1"/>
  <c r="G40" i="4" s="1"/>
  <c r="F57" i="3"/>
  <c r="F56" i="3"/>
  <c r="I102" i="1"/>
  <c r="I146" i="1" s="1"/>
  <c r="F59" i="3"/>
  <c r="F58" i="3"/>
  <c r="G70" i="2"/>
  <c r="F70" i="2"/>
  <c r="H26" i="11"/>
  <c r="H27" i="11"/>
  <c r="H30" i="11" s="1"/>
  <c r="H31" i="11" s="1"/>
  <c r="E70" i="2"/>
  <c r="F37" i="2"/>
  <c r="E40" i="2"/>
  <c r="E41" i="2"/>
  <c r="E39" i="2"/>
  <c r="E42" i="2"/>
  <c r="F41" i="2"/>
  <c r="F39" i="2"/>
  <c r="F42" i="2"/>
  <c r="F40" i="2"/>
  <c r="C37" i="2"/>
  <c r="C38" i="2"/>
  <c r="C71" i="2" s="1"/>
  <c r="D68" i="2" s="1"/>
  <c r="D70" i="2" s="1"/>
  <c r="D40" i="2"/>
  <c r="D42" i="2"/>
  <c r="D39" i="2"/>
  <c r="D41" i="2"/>
  <c r="B40" i="2"/>
  <c r="B41" i="2"/>
  <c r="B39" i="2"/>
  <c r="B42" i="2"/>
  <c r="G42" i="2"/>
  <c r="G41" i="2"/>
  <c r="G39" i="2"/>
  <c r="G40" i="2"/>
  <c r="C12" i="2"/>
  <c r="C13" i="2" s="1"/>
  <c r="C29" i="2" s="1"/>
  <c r="D146" i="1"/>
  <c r="I72" i="3" l="1"/>
  <c r="I74" i="3" s="1"/>
  <c r="I73" i="3"/>
  <c r="H40" i="4"/>
  <c r="H54" i="3"/>
  <c r="H69" i="3"/>
  <c r="H71" i="3" s="1"/>
  <c r="J42" i="2"/>
  <c r="J39" i="2"/>
  <c r="J41" i="2"/>
  <c r="J71" i="2"/>
  <c r="K68" i="2" s="1"/>
  <c r="K70" i="2" s="1"/>
  <c r="J40" i="2"/>
  <c r="H46" i="4"/>
  <c r="H45" i="4"/>
  <c r="H58" i="2"/>
  <c r="H61" i="2" s="1"/>
  <c r="H66" i="2" s="1"/>
  <c r="I58" i="2" s="1"/>
  <c r="I61" i="2" s="1"/>
  <c r="I66" i="2" s="1"/>
  <c r="J58" i="2" s="1"/>
  <c r="J61" i="2" s="1"/>
  <c r="J66" i="2" s="1"/>
  <c r="K58" i="2" s="1"/>
  <c r="K61" i="2" s="1"/>
  <c r="K66" i="2" s="1"/>
  <c r="H6" i="11"/>
  <c r="H21" i="11" s="1"/>
  <c r="H36" i="11" s="1"/>
  <c r="H6" i="8"/>
  <c r="H30" i="8" s="1"/>
  <c r="G6" i="5"/>
  <c r="G19" i="5" s="1"/>
  <c r="G12" i="11"/>
  <c r="F15" i="11"/>
  <c r="F16" i="11" s="1"/>
  <c r="F51" i="8"/>
  <c r="F47" i="8"/>
  <c r="D51" i="8"/>
  <c r="D47" i="8"/>
  <c r="G35" i="8"/>
  <c r="G36" i="8" s="1"/>
  <c r="G39" i="8" s="1"/>
  <c r="G43" i="8" s="1"/>
  <c r="G51" i="8" s="1"/>
  <c r="G27" i="8"/>
  <c r="G23" i="8"/>
  <c r="H11" i="8"/>
  <c r="H12" i="8" s="1"/>
  <c r="H15" i="8" s="1"/>
  <c r="H19" i="8" s="1"/>
  <c r="H27" i="8" s="1"/>
  <c r="H6" i="7"/>
  <c r="G46" i="4"/>
  <c r="G45" i="4"/>
  <c r="G41" i="11"/>
  <c r="H41" i="11" s="1"/>
  <c r="I42" i="11" s="1"/>
  <c r="I45" i="11" s="1"/>
  <c r="I46" i="11" s="1"/>
  <c r="G69" i="3"/>
  <c r="G71" i="3" s="1"/>
  <c r="G54" i="3"/>
  <c r="F46" i="4"/>
  <c r="F45" i="4"/>
  <c r="E72" i="3"/>
  <c r="E74" i="3" s="1"/>
  <c r="H39" i="2"/>
  <c r="H41" i="2"/>
  <c r="H71" i="2"/>
  <c r="H42" i="2"/>
  <c r="H40" i="2"/>
  <c r="F69" i="3"/>
  <c r="F71" i="3" s="1"/>
  <c r="F40" i="4"/>
  <c r="F54" i="3"/>
  <c r="I26" i="11"/>
  <c r="I27" i="11"/>
  <c r="I30" i="11" s="1"/>
  <c r="I31" i="11" s="1"/>
  <c r="C70" i="2"/>
  <c r="C42" i="2"/>
  <c r="C41" i="2"/>
  <c r="C39" i="2"/>
  <c r="C40" i="2"/>
  <c r="G146" i="1"/>
  <c r="J70" i="2" l="1"/>
  <c r="H72" i="3"/>
  <c r="H74" i="3" s="1"/>
  <c r="H73" i="3"/>
  <c r="I6" i="11"/>
  <c r="I21" i="11" s="1"/>
  <c r="I36" i="11" s="1"/>
  <c r="I6" i="8"/>
  <c r="I30" i="8" s="1"/>
  <c r="H6" i="5"/>
  <c r="H19" i="5" s="1"/>
  <c r="H12" i="11"/>
  <c r="G15" i="11"/>
  <c r="G16" i="11" s="1"/>
  <c r="H23" i="8"/>
  <c r="G47" i="8"/>
  <c r="I35" i="8"/>
  <c r="I36" i="8" s="1"/>
  <c r="I39" i="8" s="1"/>
  <c r="I43" i="8" s="1"/>
  <c r="I51" i="8" s="1"/>
  <c r="I11" i="8"/>
  <c r="I12" i="8" s="1"/>
  <c r="I15" i="8" s="1"/>
  <c r="I19" i="8" s="1"/>
  <c r="I6" i="7"/>
  <c r="I41" i="11"/>
  <c r="J41" i="11" s="1"/>
  <c r="H42" i="11"/>
  <c r="H45" i="11" s="1"/>
  <c r="H46" i="11" s="1"/>
  <c r="H70" i="2"/>
  <c r="I68" i="2"/>
  <c r="I70" i="2" s="1"/>
  <c r="G73" i="3"/>
  <c r="G72" i="3"/>
  <c r="G74" i="3" s="1"/>
  <c r="J26" i="11"/>
  <c r="J27" i="11"/>
  <c r="J30" i="11" s="1"/>
  <c r="J31" i="11" s="1"/>
  <c r="J6" i="11" l="1"/>
  <c r="J21" i="11" s="1"/>
  <c r="J36" i="11" s="1"/>
  <c r="J6" i="8"/>
  <c r="J30" i="8" s="1"/>
  <c r="I6" i="5"/>
  <c r="I19" i="5" s="1"/>
  <c r="I12" i="11"/>
  <c r="H15" i="11"/>
  <c r="H16" i="11" s="1"/>
  <c r="I27" i="8"/>
  <c r="C24" i="8"/>
  <c r="I23" i="8"/>
  <c r="I47" i="8"/>
  <c r="H35" i="8"/>
  <c r="H36" i="8" s="1"/>
  <c r="H39" i="8" s="1"/>
  <c r="H43" i="8" s="1"/>
  <c r="J11" i="8"/>
  <c r="J12" i="8" s="1"/>
  <c r="J15" i="8" s="1"/>
  <c r="J19" i="8" s="1"/>
  <c r="J27" i="8" s="1"/>
  <c r="J42" i="11"/>
  <c r="J45" i="11" s="1"/>
  <c r="J46" i="11" s="1"/>
  <c r="K6" i="5"/>
  <c r="K19" i="5" s="1"/>
  <c r="J6" i="5"/>
  <c r="J19" i="5" s="1"/>
  <c r="J6" i="7"/>
  <c r="F72" i="3"/>
  <c r="F73" i="3"/>
  <c r="I15" i="11" l="1"/>
  <c r="I16" i="11" s="1"/>
  <c r="J12" i="11"/>
  <c r="J15" i="11" s="1"/>
  <c r="J16" i="11" s="1"/>
  <c r="H51" i="8"/>
  <c r="H47" i="8"/>
  <c r="J35" i="8"/>
  <c r="J36" i="8" s="1"/>
  <c r="J39" i="8" s="1"/>
  <c r="J43" i="8" s="1"/>
  <c r="J23" i="8"/>
  <c r="K6" i="7"/>
  <c r="L6" i="5"/>
  <c r="L19" i="5" s="1"/>
  <c r="F74" i="3"/>
  <c r="J146" i="1"/>
  <c r="F146" i="1"/>
  <c r="J51" i="8" l="1"/>
  <c r="J47" i="8"/>
  <c r="K146" i="1"/>
  <c r="C48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2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Fill Capex value in the corresponding year, if future capex investment is expected and income out of the same is estimated.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8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Author:
Feed Capacity Utilization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Feed in if any Carry forward loss is there.</t>
        </r>
      </text>
    </comment>
    <comment ref="B26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Feed in if any Carry forward loss is there.</t>
        </r>
      </text>
    </comment>
    <comment ref="B4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Feed in if any Carry forward loss is there.</t>
        </r>
      </text>
    </comment>
  </commentList>
</comments>
</file>

<file path=xl/sharedStrings.xml><?xml version="1.0" encoding="utf-8"?>
<sst xmlns="http://schemas.openxmlformats.org/spreadsheetml/2006/main" count="677" uniqueCount="438">
  <si>
    <t>YEAR ENDING 31ST MARCH</t>
  </si>
  <si>
    <t>GROSS SALES</t>
  </si>
  <si>
    <t>Domestic Sales</t>
  </si>
  <si>
    <t>Exports Sales</t>
  </si>
  <si>
    <t>Other Operating INCOME</t>
  </si>
  <si>
    <t>TOTAL</t>
  </si>
  <si>
    <t>Less: Excise Duty / taxes</t>
  </si>
  <si>
    <t>NET SALES</t>
  </si>
  <si>
    <t>% rise/fall in Net Sales compared to Previous Year</t>
  </si>
  <si>
    <t>COST OF SALES</t>
  </si>
  <si>
    <t xml:space="preserve">   b) Indigenous</t>
  </si>
  <si>
    <t>Indigenous packing material (Incl. Stores)</t>
  </si>
  <si>
    <t>Power &amp; Fuel</t>
  </si>
  <si>
    <t>Direct Cost</t>
  </si>
  <si>
    <t xml:space="preserve">Other Mfg. Expenses </t>
  </si>
  <si>
    <t>Depreciation</t>
  </si>
  <si>
    <t xml:space="preserve"> Sub total</t>
  </si>
  <si>
    <t>INCREASE / (DECREASE) IN STOCKS</t>
  </si>
  <si>
    <t xml:space="preserve"> ADD: Opening Stock in Process</t>
  </si>
  <si>
    <t>Sub Total</t>
  </si>
  <si>
    <t>Deduct: Closing Stock in Process</t>
  </si>
  <si>
    <t>COST OF PRODUCTION</t>
  </si>
  <si>
    <t>ADD: Opening Stock of Finished Goods</t>
  </si>
  <si>
    <t>LESS: Closing Stock of Finished Goods</t>
  </si>
  <si>
    <t>Selling, General &amp; Admn. Expenses/Fin. Charges</t>
  </si>
  <si>
    <t>a) Selling Expenses</t>
  </si>
  <si>
    <t>b) General &amp; admin Exp/ Finance Expenses</t>
  </si>
  <si>
    <t>c) Employee Benefit Expenses</t>
  </si>
  <si>
    <t>SUB TOTAL</t>
  </si>
  <si>
    <t>Operating Profit before Interest</t>
  </si>
  <si>
    <t>Interest</t>
  </si>
  <si>
    <t>Operating Profit After Interest</t>
  </si>
  <si>
    <t>ADD: Non-Operating Income</t>
  </si>
  <si>
    <t xml:space="preserve">LESS: Non-Operating Expenditure </t>
  </si>
  <si>
    <t>Net of Non-Operating Income &amp; Expenditure</t>
  </si>
  <si>
    <t>PROFIT BEFORE TAX</t>
  </si>
  <si>
    <t>Provision for Taxation</t>
  </si>
  <si>
    <t>Deferred Tax</t>
  </si>
  <si>
    <t>NET PROFIT</t>
  </si>
  <si>
    <t>Dividend on Equity</t>
  </si>
  <si>
    <t>Dividend Rate</t>
  </si>
  <si>
    <t>Retained profit ( 13 - 14 )</t>
  </si>
  <si>
    <t>Retained Profit/Net Profit %</t>
  </si>
  <si>
    <t>Cash Profit</t>
  </si>
  <si>
    <t>Operating Profit %</t>
  </si>
  <si>
    <t>Interest coveratio ration (Intt / NP)</t>
  </si>
  <si>
    <t>INCREASE / DECREASE IN STOCKS</t>
  </si>
  <si>
    <t>Inventory + Receivables / Sales %</t>
  </si>
  <si>
    <t>CURRENT LIABILITIES</t>
  </si>
  <si>
    <t>SUB-TOTAL (A)</t>
  </si>
  <si>
    <t>Sundry Creditors for Trade</t>
  </si>
  <si>
    <t>Sundry Creditors for Expenses</t>
  </si>
  <si>
    <t>Advances From Customers/Deposits</t>
  </si>
  <si>
    <t>Divident Payable</t>
  </si>
  <si>
    <t>Other Statutory Liabilities</t>
  </si>
  <si>
    <t>Other Current Liabilities &amp; provisions due with in 1 Year</t>
  </si>
  <si>
    <t>SUB-TOTAL (B)</t>
  </si>
  <si>
    <t>TOTAL CURRENT LIABILITIES (A+B)</t>
  </si>
  <si>
    <t>TERM LIABILITIES</t>
  </si>
  <si>
    <t>Term Loans</t>
  </si>
  <si>
    <t>TOTAL TERM LIABILITIES</t>
  </si>
  <si>
    <t>TOTAL OUTSIDE LIABILITIES</t>
  </si>
  <si>
    <t>Ordinary Share Capital</t>
  </si>
  <si>
    <t>Quasi capital (unsecured loan from promoters)</t>
  </si>
  <si>
    <t>Deferred Tax Liability</t>
  </si>
  <si>
    <t>NET WORTH</t>
  </si>
  <si>
    <t>TOTAL LIABILITIES</t>
  </si>
  <si>
    <t>CURRENT ASSETS</t>
  </si>
  <si>
    <t>Cash &amp; Bank Balances</t>
  </si>
  <si>
    <t>Investments (Other than Long Term)</t>
  </si>
  <si>
    <t xml:space="preserve">  a) Govt. &amp; Other Securities</t>
  </si>
  <si>
    <t>Inventory</t>
  </si>
  <si>
    <t>Advance payment of Taxes / Duties</t>
  </si>
  <si>
    <t xml:space="preserve">Other Current Assets </t>
  </si>
  <si>
    <t>TOTAL CURRENT ASSETS</t>
  </si>
  <si>
    <t>FIXED ASSETS</t>
  </si>
  <si>
    <t>Gross Block</t>
  </si>
  <si>
    <t>Depreciation to date</t>
  </si>
  <si>
    <t xml:space="preserve">NET BLOCK </t>
  </si>
  <si>
    <t>OTHER NON-CURRENT ASSETS</t>
  </si>
  <si>
    <t>Other Investments</t>
  </si>
  <si>
    <t xml:space="preserve">TOTAL NON-CURRENT ASSETS </t>
  </si>
  <si>
    <t>TOTAL ASSETS</t>
  </si>
  <si>
    <t>CHECK</t>
  </si>
  <si>
    <t>TANGIBLE NET WORTH</t>
  </si>
  <si>
    <t xml:space="preserve">NET WORKING CAPITAL </t>
  </si>
  <si>
    <t>CURRENT RATIO</t>
  </si>
  <si>
    <t xml:space="preserve">TOTAL OUTSIDE LIABILITIES/TANGIBLE NET WORTH </t>
  </si>
  <si>
    <t>Receivables</t>
  </si>
  <si>
    <t xml:space="preserve">   a) Import</t>
  </si>
  <si>
    <t>Working Capital from our Bank (Existing/ Proposed)</t>
  </si>
  <si>
    <t xml:space="preserve"> ii) of Which PC/ PS</t>
  </si>
  <si>
    <t xml:space="preserve"> iii) of which BP/BD (Buyers credit)</t>
  </si>
  <si>
    <t xml:space="preserve">                                - Indigenous</t>
  </si>
  <si>
    <t xml:space="preserve">                                - Imported</t>
  </si>
  <si>
    <t xml:space="preserve">  Raw Materials</t>
  </si>
  <si>
    <t xml:space="preserve">  Stock in Process</t>
  </si>
  <si>
    <t xml:space="preserve">  Finished Goods</t>
  </si>
  <si>
    <t xml:space="preserve">  Consumable spares</t>
  </si>
  <si>
    <t>-</t>
  </si>
  <si>
    <t>Current Year</t>
  </si>
  <si>
    <t>No of Year Projected (Excl. current year)</t>
  </si>
  <si>
    <t>No of Year Audited</t>
  </si>
  <si>
    <t>Term Loan installments due within 1 year</t>
  </si>
  <si>
    <t>Name of Party</t>
  </si>
  <si>
    <t>Name of Bank</t>
  </si>
  <si>
    <t>Name of Branch</t>
  </si>
  <si>
    <t>Name of CO</t>
  </si>
  <si>
    <t>Projected</t>
  </si>
  <si>
    <t>Audited</t>
  </si>
  <si>
    <t>Sundry Creditors for LC</t>
  </si>
  <si>
    <t>Land</t>
  </si>
  <si>
    <t>Building</t>
  </si>
  <si>
    <t>Plant &amp; Machinery</t>
  </si>
  <si>
    <t>List of Machinery</t>
  </si>
  <si>
    <t>S. No.</t>
  </si>
  <si>
    <t>Name of Machine</t>
  </si>
  <si>
    <t>Supplier</t>
  </si>
  <si>
    <t>Quot No.</t>
  </si>
  <si>
    <t>No. of Set</t>
  </si>
  <si>
    <t>Total Basic Cost</t>
  </si>
  <si>
    <t>Basic Cost/ Pc</t>
  </si>
  <si>
    <t>Tax</t>
  </si>
  <si>
    <t>Total</t>
  </si>
  <si>
    <t>Misc.</t>
  </si>
  <si>
    <t>Total Hard Cost</t>
  </si>
  <si>
    <t>Interest During Construction</t>
  </si>
  <si>
    <t>Contingency</t>
  </si>
  <si>
    <t>Other Prelim. Pre-Op Expenses</t>
  </si>
  <si>
    <t>Total Cost</t>
  </si>
  <si>
    <t>Particulars</t>
  </si>
  <si>
    <t>Amt.</t>
  </si>
  <si>
    <t>Margin (%)</t>
  </si>
  <si>
    <t>Margin</t>
  </si>
  <si>
    <t>Elg. Loan</t>
  </si>
  <si>
    <t>COST OF PROJECT</t>
  </si>
  <si>
    <t>MEANS OF FINANCE</t>
  </si>
  <si>
    <t>%age</t>
  </si>
  <si>
    <t>Promoter's Margin</t>
  </si>
  <si>
    <t xml:space="preserve">   Share Capital</t>
  </si>
  <si>
    <t xml:space="preserve">   Internal Accrual</t>
  </si>
  <si>
    <t xml:space="preserve">   Unsecured Loans</t>
  </si>
  <si>
    <t>Bank Loan</t>
  </si>
  <si>
    <t>Other Third Party Sources</t>
  </si>
  <si>
    <t>Total Means of Finance</t>
  </si>
  <si>
    <t>NWC</t>
  </si>
  <si>
    <t>2. EBIDTA :-</t>
  </si>
  <si>
    <t>Net profit after tax</t>
  </si>
  <si>
    <t>Add: Tax</t>
  </si>
  <si>
    <t>Add: Depreciation</t>
  </si>
  <si>
    <t xml:space="preserve">Add: Interest </t>
  </si>
  <si>
    <t>EBIDTA</t>
  </si>
  <si>
    <t>PBDIT</t>
  </si>
  <si>
    <t xml:space="preserve">Gross Sales </t>
  </si>
  <si>
    <t>Total Net Sales</t>
  </si>
  <si>
    <t>Profit before tax</t>
  </si>
  <si>
    <t>PBT/Net sales(%)</t>
  </si>
  <si>
    <t>ROCE (%)</t>
  </si>
  <si>
    <t>Paid up share capital</t>
  </si>
  <si>
    <t>Reserves &amp; Surplus (excluding Revaluation reserve)</t>
  </si>
  <si>
    <t>Accumulated losses &amp; Intangible assets</t>
  </si>
  <si>
    <t>Investments outside business</t>
  </si>
  <si>
    <t>Debt / Equity ratio</t>
  </si>
  <si>
    <t>TOL/TNW</t>
  </si>
  <si>
    <t>Current ratio</t>
  </si>
  <si>
    <t>DSCR</t>
  </si>
  <si>
    <t>Capital turnover (sales /capital employed)</t>
  </si>
  <si>
    <t>NWC/TCA (%)</t>
  </si>
  <si>
    <t>Inventory turnover ratio</t>
  </si>
  <si>
    <t>Debtors turnover ratio</t>
  </si>
  <si>
    <t>Creditors turnover ratio</t>
  </si>
  <si>
    <t>STB/Net Sales (%)</t>
  </si>
  <si>
    <t>Growth in Sales (net %)</t>
  </si>
  <si>
    <t>Investment in Associate Concern</t>
  </si>
  <si>
    <t>Deffered tax liability (Asset)</t>
  </si>
  <si>
    <t>Tangible Net Worth</t>
  </si>
  <si>
    <t>1. ROCE CALCULATIONS :-</t>
  </si>
  <si>
    <t>Add long term Interest</t>
  </si>
  <si>
    <t>Add Extra ordinary Expenses</t>
  </si>
  <si>
    <t>Less Extra ordinary income</t>
  </si>
  <si>
    <t>Average Capital Employed</t>
  </si>
  <si>
    <t>3. GROWTH  :-</t>
  </si>
  <si>
    <t xml:space="preserve">4. Profitability :- </t>
  </si>
  <si>
    <t>5. SOLVENCY  :-</t>
  </si>
  <si>
    <t>6. LIQUIDITY : -</t>
  </si>
  <si>
    <t>7. EFFICIENCY :-</t>
  </si>
  <si>
    <t>8. WORKING CAPITAL MANAGEMENT:-</t>
  </si>
  <si>
    <t>Asset Turnover (Sales/ Total Assets)</t>
  </si>
  <si>
    <t>Funding Turnover (Sales/ Long Term Funds)</t>
  </si>
  <si>
    <t>Gross Sales</t>
  </si>
  <si>
    <t>Net Sales</t>
  </si>
  <si>
    <t>Export Sales</t>
  </si>
  <si>
    <t>Other Expenses</t>
  </si>
  <si>
    <t>Cost of Production</t>
  </si>
  <si>
    <t>Cost of Sales</t>
  </si>
  <si>
    <t>(Month's Consumption)</t>
  </si>
  <si>
    <t>(Month's Cost of Production)</t>
  </si>
  <si>
    <t>(Month's Cost of Sales)</t>
  </si>
  <si>
    <t>(Month's Domestic Sales)</t>
  </si>
  <si>
    <t>(Month's Export Sales)</t>
  </si>
  <si>
    <t>Total Current Assets</t>
  </si>
  <si>
    <t>Raw material</t>
  </si>
  <si>
    <t>Consumable Spares</t>
  </si>
  <si>
    <t>Stock in Process</t>
  </si>
  <si>
    <t>Finished Goods</t>
  </si>
  <si>
    <t>a. Total Inventory</t>
  </si>
  <si>
    <t>(Month's Dom. &amp; Exp. Sales)</t>
  </si>
  <si>
    <t>Total CCA (a+b)</t>
  </si>
  <si>
    <t>1. Sales/ Income :-</t>
  </si>
  <si>
    <t>2. Holding Position :-</t>
  </si>
  <si>
    <t>3. Chargeable Current Assets</t>
  </si>
  <si>
    <t>4. Other Current Assets :-</t>
  </si>
  <si>
    <t>Cash and Bank Balance</t>
  </si>
  <si>
    <t>Advances to Suppliers</t>
  </si>
  <si>
    <t>Other Current Assets</t>
  </si>
  <si>
    <t>Total Other Current Assets</t>
  </si>
  <si>
    <t>5. Current Liabilities :-</t>
  </si>
  <si>
    <t>(Months Purchases - General)</t>
  </si>
  <si>
    <t>Advance from Customers</t>
  </si>
  <si>
    <t>Provisions</t>
  </si>
  <si>
    <t>Other Current Liabilities</t>
  </si>
  <si>
    <t>Short Term Unsecured Loans</t>
  </si>
  <si>
    <t>Total Other Current Liabilities</t>
  </si>
  <si>
    <t>Sundary Creditors - Expenses</t>
  </si>
  <si>
    <t>5. Total Current Assets</t>
  </si>
  <si>
    <t>Eligible Maximum Permissible bank Finance</t>
  </si>
  <si>
    <t>Excess Bank Finance</t>
  </si>
  <si>
    <t>Maximum Permissible Bank Finance</t>
  </si>
  <si>
    <t>6. Liquidity &amp; Solvency Ratios :-</t>
  </si>
  <si>
    <t>7. MPBF :-</t>
  </si>
  <si>
    <t>Debt / Equity ratio (Quasi)</t>
  </si>
  <si>
    <t>TOL/TNW (Quasi)</t>
  </si>
  <si>
    <t>9. Build Up of NWC :-</t>
  </si>
  <si>
    <t>Opening Net Working Capital</t>
  </si>
  <si>
    <t>Increase in Net Worth</t>
  </si>
  <si>
    <t>Increase in Term Liabilities</t>
  </si>
  <si>
    <t>LESS: Increase/ (Decrease) in Net Block</t>
  </si>
  <si>
    <t>Increase in Non Current Assets</t>
  </si>
  <si>
    <t>Increase in intangible Assets</t>
  </si>
  <si>
    <t>Net Working Capital</t>
  </si>
  <si>
    <t>10. Build up of TNW :-</t>
  </si>
  <si>
    <t>Adjusted Op PBIT</t>
  </si>
  <si>
    <t xml:space="preserve">   b) Working Capital</t>
  </si>
  <si>
    <t xml:space="preserve">   c) Other Charges</t>
  </si>
  <si>
    <t xml:space="preserve">   a) Term Loan (incl. other term liabilities)</t>
  </si>
  <si>
    <t>Net Owned Funds</t>
  </si>
  <si>
    <t>Debtors &gt;6M</t>
  </si>
  <si>
    <t xml:space="preserve">   - Export Receivables &lt;6M</t>
  </si>
  <si>
    <t>NA</t>
  </si>
  <si>
    <r>
      <rPr>
        <b/>
        <sz val="10"/>
        <rFont val="Tahoma"/>
        <family val="2"/>
      </rPr>
      <t>1</t>
    </r>
    <r>
      <rPr>
        <sz val="10"/>
        <rFont val="Tahoma"/>
        <family val="2"/>
      </rPr>
      <t>. Raw Materials &amp; Consumable Spares</t>
    </r>
  </si>
  <si>
    <r>
      <rPr>
        <b/>
        <sz val="10"/>
        <rFont val="Tahoma"/>
        <family val="2"/>
      </rPr>
      <t>2</t>
    </r>
    <r>
      <rPr>
        <sz val="10"/>
        <rFont val="Tahoma"/>
        <family val="2"/>
      </rPr>
      <t>. Stock In Process</t>
    </r>
  </si>
  <si>
    <r>
      <rPr>
        <b/>
        <sz val="10"/>
        <rFont val="Tahoma"/>
        <family val="2"/>
      </rPr>
      <t>3</t>
    </r>
    <r>
      <rPr>
        <sz val="10"/>
        <rFont val="Tahoma"/>
        <family val="2"/>
      </rPr>
      <t>. Finished Goods</t>
    </r>
  </si>
  <si>
    <r>
      <rPr>
        <b/>
        <sz val="10"/>
        <rFont val="Tahoma"/>
        <family val="2"/>
      </rPr>
      <t>4.</t>
    </r>
    <r>
      <rPr>
        <sz val="10"/>
        <rFont val="Tahoma"/>
        <family val="2"/>
      </rPr>
      <t xml:space="preserve"> Recievables - Domestic</t>
    </r>
  </si>
  <si>
    <r>
      <t xml:space="preserve">5. </t>
    </r>
    <r>
      <rPr>
        <sz val="10"/>
        <rFont val="Tahoma"/>
        <family val="2"/>
      </rPr>
      <t>Export Recievables</t>
    </r>
  </si>
  <si>
    <r>
      <rPr>
        <b/>
        <sz val="10"/>
        <rFont val="Tahoma"/>
        <family val="2"/>
      </rPr>
      <t>6</t>
    </r>
    <r>
      <rPr>
        <sz val="10"/>
        <rFont val="Tahoma"/>
        <family val="2"/>
      </rPr>
      <t>. Loans &amp; Advances</t>
    </r>
  </si>
  <si>
    <r>
      <rPr>
        <b/>
        <sz val="10"/>
        <rFont val="Tahoma"/>
        <family val="2"/>
      </rPr>
      <t>7</t>
    </r>
    <r>
      <rPr>
        <sz val="10"/>
        <rFont val="Tahoma"/>
        <family val="2"/>
      </rPr>
      <t>. All other Current Assets Incl. Cash/ Bank Balance</t>
    </r>
  </si>
  <si>
    <r>
      <rPr>
        <b/>
        <sz val="10"/>
        <rFont val="Tahoma"/>
        <family val="2"/>
      </rPr>
      <t>b.</t>
    </r>
    <r>
      <rPr>
        <sz val="10"/>
        <rFont val="Tahoma"/>
        <family val="2"/>
      </rPr>
      <t xml:space="preserve"> </t>
    </r>
    <r>
      <rPr>
        <b/>
        <sz val="10"/>
        <rFont val="Tahoma"/>
        <family val="2"/>
      </rPr>
      <t>Recievables</t>
    </r>
  </si>
  <si>
    <r>
      <rPr>
        <b/>
        <sz val="10"/>
        <rFont val="Tahoma"/>
        <family val="2"/>
      </rPr>
      <t>1.</t>
    </r>
    <r>
      <rPr>
        <sz val="10"/>
        <rFont val="Tahoma"/>
        <family val="2"/>
      </rPr>
      <t xml:space="preserve"> Total Inventory</t>
    </r>
  </si>
  <si>
    <r>
      <rPr>
        <b/>
        <sz val="10"/>
        <rFont val="Tahoma"/>
        <family val="2"/>
      </rPr>
      <t>2.</t>
    </r>
    <r>
      <rPr>
        <sz val="10"/>
        <rFont val="Tahoma"/>
        <family val="2"/>
      </rPr>
      <t xml:space="preserve"> Other Current Assets</t>
    </r>
  </si>
  <si>
    <r>
      <rPr>
        <b/>
        <sz val="10"/>
        <rFont val="Tahoma"/>
        <family val="2"/>
      </rPr>
      <t>3.</t>
    </r>
    <r>
      <rPr>
        <sz val="10"/>
        <rFont val="Tahoma"/>
        <family val="2"/>
      </rPr>
      <t xml:space="preserve"> Domestic Receivables</t>
    </r>
  </si>
  <si>
    <r>
      <rPr>
        <b/>
        <sz val="10"/>
        <rFont val="Tahoma"/>
        <family val="2"/>
      </rPr>
      <t>4.</t>
    </r>
    <r>
      <rPr>
        <sz val="10"/>
        <rFont val="Tahoma"/>
        <family val="2"/>
      </rPr>
      <t xml:space="preserve"> Export Receivables</t>
    </r>
  </si>
  <si>
    <r>
      <rPr>
        <b/>
        <sz val="10"/>
        <rFont val="Tahoma"/>
        <family val="2"/>
      </rPr>
      <t xml:space="preserve">6. </t>
    </r>
    <r>
      <rPr>
        <sz val="10"/>
        <rFont val="Tahoma"/>
        <family val="2"/>
      </rPr>
      <t>Other Current Liabilities</t>
    </r>
  </si>
  <si>
    <r>
      <rPr>
        <b/>
        <sz val="10"/>
        <rFont val="Tahoma"/>
        <family val="2"/>
      </rPr>
      <t xml:space="preserve">7. </t>
    </r>
    <r>
      <rPr>
        <sz val="10"/>
        <rFont val="Tahoma"/>
        <family val="2"/>
      </rPr>
      <t>Working Capital Gap</t>
    </r>
  </si>
  <si>
    <r>
      <rPr>
        <b/>
        <sz val="10"/>
        <rFont val="Tahoma"/>
        <family val="2"/>
      </rPr>
      <t xml:space="preserve">8. </t>
    </r>
    <r>
      <rPr>
        <sz val="10"/>
        <rFont val="Tahoma"/>
        <family val="2"/>
      </rPr>
      <t>Min. Margin (25% CCA excl. Exp. Rec)</t>
    </r>
  </si>
  <si>
    <r>
      <rPr>
        <b/>
        <sz val="10"/>
        <rFont val="Tahoma"/>
        <family val="2"/>
      </rPr>
      <t>9.</t>
    </r>
    <r>
      <rPr>
        <sz val="10"/>
        <rFont val="Tahoma"/>
        <family val="2"/>
      </rPr>
      <t xml:space="preserve"> Actual/ Estimated NWC</t>
    </r>
  </si>
  <si>
    <t>Opening TNW</t>
  </si>
  <si>
    <t>Less: Losses and increase in other investments</t>
  </si>
  <si>
    <t>ADD: Profit &amp; Infusiuon of Capital</t>
  </si>
  <si>
    <t>Closing TNW</t>
  </si>
  <si>
    <t>Total Expenses</t>
  </si>
  <si>
    <t xml:space="preserve">  b) Fixed Deposits (Banks) - Un encumbered</t>
  </si>
  <si>
    <t xml:space="preserve">   - Other than deferred &amp; Exports &lt;6M</t>
  </si>
  <si>
    <t>Sundry Creditors - General (Trade &amp; LC)</t>
  </si>
  <si>
    <t>TL Installments due within 1 year</t>
  </si>
  <si>
    <t>Share Application Money/ Warrant/ Unsecured Loan - ST</t>
  </si>
  <si>
    <r>
      <rPr>
        <b/>
        <sz val="10"/>
        <rFont val="Tahoma"/>
        <family val="2"/>
      </rPr>
      <t>10.</t>
    </r>
    <r>
      <rPr>
        <sz val="10"/>
        <rFont val="Tahoma"/>
        <family val="2"/>
      </rPr>
      <t xml:space="preserve"> Permissible Bank Finance (PBF) [7-8]</t>
    </r>
  </si>
  <si>
    <r>
      <rPr>
        <b/>
        <sz val="10"/>
        <rFont val="Tahoma"/>
        <family val="2"/>
      </rPr>
      <t xml:space="preserve">11. </t>
    </r>
    <r>
      <rPr>
        <sz val="10"/>
        <rFont val="Tahoma"/>
        <family val="2"/>
      </rPr>
      <t>Permissible Bank Finance (PBF) [7-9]</t>
    </r>
  </si>
  <si>
    <t>Opening Balance of Raw Material</t>
  </si>
  <si>
    <t>Closing Balance of Raw Material</t>
  </si>
  <si>
    <t>Raw Materials consumption</t>
  </si>
  <si>
    <t>-  Domestic</t>
  </si>
  <si>
    <t>-  Export</t>
  </si>
  <si>
    <t>% growth</t>
  </si>
  <si>
    <t>Operating Profit/Loss</t>
  </si>
  <si>
    <t>Profit after tax</t>
  </si>
  <si>
    <t>Cash profit</t>
  </si>
  <si>
    <t>Paid up capital</t>
  </si>
  <si>
    <t>Accumulated losses</t>
  </si>
  <si>
    <t>Deferred Tax Liability/Asset</t>
  </si>
  <si>
    <t>Total Borrowings</t>
  </si>
  <si>
    <t>Secured</t>
  </si>
  <si>
    <t xml:space="preserve">Unsecured </t>
  </si>
  <si>
    <t>Total Assets</t>
  </si>
  <si>
    <t>Out of which net fixed assets</t>
  </si>
  <si>
    <t>Current Ratio</t>
  </si>
  <si>
    <t>Debt Equity Ratio</t>
  </si>
  <si>
    <t xml:space="preserve">Operating Profit/Sales </t>
  </si>
  <si>
    <t>Long Term Sources</t>
  </si>
  <si>
    <t>Long Term Uses</t>
  </si>
  <si>
    <t>Surplus/ Deficit</t>
  </si>
  <si>
    <t>Short Term Sources</t>
  </si>
  <si>
    <t>Short Term Uses</t>
  </si>
  <si>
    <t>a) Tangible Net Worth</t>
  </si>
  <si>
    <t xml:space="preserve">b) Investment in allied concerns and amount of cross holdings </t>
  </si>
  <si>
    <t>c) Net owned funds (a –b)</t>
  </si>
  <si>
    <t>Other Operating Income</t>
  </si>
  <si>
    <t>Other Non operating Income</t>
  </si>
  <si>
    <t>General Reserve excl. revaluation reserve</t>
  </si>
  <si>
    <t>Debt Equity Ratio (Quasi)</t>
  </si>
  <si>
    <t>DEPRECIATION</t>
  </si>
  <si>
    <t>INTEREST ON LONG TERM LOANS</t>
  </si>
  <si>
    <t>OTHER NON CASH EXPENDITURE</t>
  </si>
  <si>
    <t>TOTAL (A)</t>
  </si>
  <si>
    <t>PRINCIPLE PAYMENT OF TERM LOAN</t>
  </si>
  <si>
    <t>TOTAL (B)</t>
  </si>
  <si>
    <t>DSCR (A/B)</t>
  </si>
  <si>
    <t>Average DSCR</t>
  </si>
  <si>
    <t>Year</t>
  </si>
  <si>
    <t>CAPEX Value</t>
  </si>
  <si>
    <t>Cash Accrual</t>
  </si>
  <si>
    <t>Cash Flow</t>
  </si>
  <si>
    <t>IRR</t>
  </si>
  <si>
    <t>DSCR CALCULATION</t>
  </si>
  <si>
    <t>IRR CALCULATION</t>
  </si>
  <si>
    <t>General Case</t>
  </si>
  <si>
    <t>PBT</t>
  </si>
  <si>
    <t>Add: Depreciation as per Co's Act</t>
  </si>
  <si>
    <t>Less: Depreciation as per IT Act</t>
  </si>
  <si>
    <t>Adjusted PBT</t>
  </si>
  <si>
    <t>Carried Forward Losses</t>
  </si>
  <si>
    <t>Taxable Profit</t>
  </si>
  <si>
    <t>Book Profit</t>
  </si>
  <si>
    <t>Tax as per MAT</t>
  </si>
  <si>
    <t>Normal Tax</t>
  </si>
  <si>
    <t>MAT rate</t>
  </si>
  <si>
    <t xml:space="preserve">Normal Tax rate </t>
  </si>
  <si>
    <t>Case I</t>
  </si>
  <si>
    <t>Case II</t>
  </si>
  <si>
    <t>Tax Liability Payable</t>
  </si>
  <si>
    <t>TAX CALCULATOR</t>
  </si>
  <si>
    <t>Depreciation as per Income Tax Law</t>
  </si>
  <si>
    <t>Sensitivity Case I</t>
  </si>
  <si>
    <t>Sensitivity Case II</t>
  </si>
  <si>
    <t>FIXED COST</t>
  </si>
  <si>
    <t>Interest on Term Loan</t>
  </si>
  <si>
    <t>Cost of Production (Excl RM Cost &amp; Depreciation)</t>
  </si>
  <si>
    <t>30% of Cost of Prod. (Excl. RM Cost)</t>
  </si>
  <si>
    <t>TOTAL FIXED COST (F)</t>
  </si>
  <si>
    <t>PROFIT BEFOR TAX (P)</t>
  </si>
  <si>
    <t>BEP ON GIVEN SALES (= F/(F+P) )</t>
  </si>
  <si>
    <t>CASH BEP  ON Given Gross Sales</t>
  </si>
  <si>
    <t xml:space="preserve">BEP IN TERMS OF SALES </t>
  </si>
  <si>
    <t>CAPACITY UTILIZATION</t>
  </si>
  <si>
    <t>BEP ON UTILIZED CAPACITY</t>
  </si>
  <si>
    <t>CASH BEP  ON UTILIZED CAPACITY</t>
  </si>
  <si>
    <t>Break Even Point in Viability Year</t>
  </si>
  <si>
    <t>Break Even Net Sales in Viability Year</t>
  </si>
  <si>
    <t>Raw Material Cost Up by 5%</t>
  </si>
  <si>
    <t>Raw Material Cost (Up by 5%)</t>
  </si>
  <si>
    <t>Profit Before Tax</t>
  </si>
  <si>
    <t>Profit After Tax</t>
  </si>
  <si>
    <t>DSCR Calculation - Case I</t>
  </si>
  <si>
    <t>PAT</t>
  </si>
  <si>
    <t>Interest on LTB</t>
  </si>
  <si>
    <t>Total A</t>
  </si>
  <si>
    <t>Principle Repayment</t>
  </si>
  <si>
    <t>Total B</t>
  </si>
  <si>
    <t>Avg. DSCR (∑A/∑B)</t>
  </si>
  <si>
    <t>IRR Calculation - Case I</t>
  </si>
  <si>
    <t>Cost of Project</t>
  </si>
  <si>
    <t>Cash Inflow</t>
  </si>
  <si>
    <t>IRR - Case I</t>
  </si>
  <si>
    <t>Sale Down by 5%</t>
  </si>
  <si>
    <t>Sales (Down by 5%)</t>
  </si>
  <si>
    <t>Raw Material Cost</t>
  </si>
  <si>
    <t>Other Expenses (Constant)</t>
  </si>
  <si>
    <t>DSCR Calculation - Case II</t>
  </si>
  <si>
    <t>IRR Calculation - Case II</t>
  </si>
  <si>
    <t>IRR - Case II</t>
  </si>
  <si>
    <t>CASE II</t>
  </si>
  <si>
    <t>CASE I</t>
  </si>
  <si>
    <t>Punjab National Bank</t>
  </si>
  <si>
    <t>Working Capital from other banks</t>
  </si>
  <si>
    <t>Quick Ratio</t>
  </si>
  <si>
    <t>Interest Coverage Ratio</t>
  </si>
  <si>
    <t>Depreciation / Amortization of expenses</t>
  </si>
  <si>
    <t>EBIDTA / PBIDTA</t>
  </si>
  <si>
    <t>Loan to allied / asscoiate concern</t>
  </si>
  <si>
    <t>Share application money</t>
  </si>
  <si>
    <t>Other investments               
(excluding investments in allied concerns considered for arriving at Net Owned Funds)</t>
  </si>
  <si>
    <t>Current Assets</t>
  </si>
  <si>
    <t>Non Current Assets</t>
  </si>
  <si>
    <t>Loans to allied concern</t>
  </si>
  <si>
    <t>Term liability/Adj TNW</t>
  </si>
  <si>
    <t>TOL/Adj TNW</t>
  </si>
  <si>
    <t>Other Non-Current Assets/ Provision for future expansion / subsidy</t>
  </si>
  <si>
    <t>Other Spares/packing Material / trading goods</t>
  </si>
  <si>
    <t>Preference shares</t>
  </si>
  <si>
    <t>Other Term Liabilities</t>
  </si>
  <si>
    <t>Unsecured Loans from promoters &amp; relatives</t>
  </si>
  <si>
    <t>Advances to Suppliers of Capital Goods, CWIP</t>
  </si>
  <si>
    <t>FDR for BG /LC</t>
  </si>
  <si>
    <t>Advances to Suppliers of Raw Material / Land / capital exp</t>
  </si>
  <si>
    <t>Raw material consumed</t>
  </si>
  <si>
    <t>Purchase of Stock-In trade for Resale</t>
  </si>
  <si>
    <t>Reserves and Surplus / Other equity excluding revaluation reserves</t>
  </si>
  <si>
    <t>Intangible Assets / Misc assets not witten off</t>
  </si>
  <si>
    <t>Intangible Assets / Misc assets not written off</t>
  </si>
  <si>
    <t>Investment Outside Business / allied cocnerns</t>
  </si>
  <si>
    <t>Current Liabilities</t>
  </si>
  <si>
    <t>Others</t>
  </si>
  <si>
    <t>Profit &amp; Loss account</t>
  </si>
  <si>
    <t>Capital reserve</t>
  </si>
  <si>
    <t>Intercorportae deposits</t>
  </si>
  <si>
    <t>Debentures @ 12%</t>
  </si>
  <si>
    <t xml:space="preserve"> i) of which LC Discounted HDFC</t>
  </si>
  <si>
    <t>Asset Coverage</t>
  </si>
  <si>
    <t>Rajendra Bharuka (HUF)</t>
  </si>
  <si>
    <t>Pritesh Dinesh Bharuka</t>
  </si>
  <si>
    <t>Renu Rajendra Bharuka</t>
  </si>
  <si>
    <t>Dinesh Satyanarayan Bharuka (HUF)</t>
  </si>
  <si>
    <t>Dinesh Satyanarayan Bharuka</t>
  </si>
  <si>
    <t>Lokesh Rajendra Bhaurka</t>
  </si>
  <si>
    <t>Rajendra Satyanarayan Bharuka</t>
  </si>
  <si>
    <t>Santosh Dinesh Bharuka</t>
  </si>
  <si>
    <t>Nilesh Dinesh Bharuka</t>
  </si>
  <si>
    <t>Sneha Lokesh Bharuka</t>
  </si>
  <si>
    <t>Dep</t>
  </si>
  <si>
    <t>TCA- Cash</t>
  </si>
  <si>
    <t>TCL- CC</t>
  </si>
  <si>
    <t>H R Ispat Pvt Ltd</t>
  </si>
  <si>
    <t>MCC Durgapur</t>
  </si>
  <si>
    <t>Durgapur</t>
  </si>
  <si>
    <t>Column1</t>
  </si>
  <si>
    <t>2023</t>
  </si>
  <si>
    <t>2024</t>
  </si>
  <si>
    <t>2025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</si>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</sst>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 * #,##0.00_ ;_ * \-#,##0.00_ ;_ * &quot;-&quot;??_ ;_ @_ "/>
    <numFmt numFmtId="165" formatCode="_(* #,##0_);_(* \(#,##0\);_(* &quot;-&quot;??_);_(@_)"/>
    <numFmt numFmtId="166" formatCode="0.0000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Tahoma"/>
      <family val="2"/>
    </font>
    <font>
      <sz val="10"/>
      <color theme="1"/>
      <name val="Tahoma"/>
      <family val="2"/>
    </font>
    <font>
      <sz val="10"/>
      <name val="Tahoma"/>
      <family val="2"/>
    </font>
    <font>
      <b/>
      <sz val="10"/>
      <color rgb="FFFF0000"/>
      <name val="Tahoma"/>
      <family val="2"/>
    </font>
    <font>
      <sz val="10"/>
      <color rgb="FFFF0000"/>
      <name val="Tahoma"/>
      <family val="2"/>
    </font>
    <font>
      <b/>
      <sz val="10"/>
      <color theme="1"/>
      <name val="Tahoma"/>
      <family val="2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sz val="11"/>
      <color indexed="8"/>
      <name val="Calibri"/>
      <family val="2"/>
    </font>
    <font>
      <b/>
      <sz val="11"/>
      <name val="Tahoma"/>
      <family val="2"/>
    </font>
    <font>
      <b/>
      <sz val="11"/>
      <color indexed="8"/>
      <name val="Tahoma"/>
      <family val="2"/>
    </font>
    <font>
      <b/>
      <sz val="10"/>
      <color indexed="8"/>
      <name val="Tahoma"/>
      <family val="2"/>
    </font>
    <font>
      <sz val="10"/>
      <color indexed="8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name val="Tahoma"/>
      <family val="2"/>
    </font>
    <font>
      <b/>
      <i/>
      <u/>
      <sz val="10"/>
      <name val="Tahoma"/>
      <family val="2"/>
    </font>
    <font>
      <b/>
      <i/>
      <sz val="10"/>
      <name val="Tahoma"/>
      <family val="2"/>
    </font>
    <font>
      <i/>
      <sz val="10"/>
      <name val="Tahoma"/>
      <family val="2"/>
    </font>
    <font>
      <b/>
      <sz val="9"/>
      <color theme="1"/>
      <name val="Tahoma"/>
      <family val="2"/>
    </font>
    <font>
      <b/>
      <sz val="9"/>
      <color indexed="8"/>
      <name val="Tahoma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1" fillId="0" borderId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90">
    <xf numFmtId="0" fontId="0" fillId="0" borderId="0" xfId="0"/>
    <xf numFmtId="0" fontId="3" fillId="0" borderId="1" xfId="2" applyFont="1" applyBorder="1" applyAlignment="1">
      <alignment vertical="center"/>
    </xf>
    <xf numFmtId="0" fontId="3" fillId="0" borderId="1" xfId="2" applyFont="1" applyBorder="1" applyAlignment="1">
      <alignment horizontal="center" vertical="center" wrapText="1"/>
    </xf>
    <xf numFmtId="0" fontId="4" fillId="0" borderId="0" xfId="0" applyFont="1"/>
    <xf numFmtId="0" fontId="3" fillId="0" borderId="1" xfId="2" applyFont="1" applyBorder="1"/>
    <xf numFmtId="0" fontId="3" fillId="0" borderId="1" xfId="2" applyFont="1" applyBorder="1" applyAlignment="1">
      <alignment horizontal="center"/>
    </xf>
    <xf numFmtId="2" fontId="3" fillId="0" borderId="1" xfId="2" applyNumberFormat="1" applyFont="1" applyBorder="1"/>
    <xf numFmtId="0" fontId="5" fillId="0" borderId="1" xfId="2" applyFont="1" applyBorder="1"/>
    <xf numFmtId="2" fontId="5" fillId="0" borderId="1" xfId="2" applyNumberFormat="1" applyFont="1" applyBorder="1"/>
    <xf numFmtId="0" fontId="5" fillId="0" borderId="1" xfId="2" applyFont="1" applyBorder="1" applyAlignment="1">
      <alignment wrapText="1"/>
    </xf>
    <xf numFmtId="10" fontId="3" fillId="0" borderId="1" xfId="3" applyNumberFormat="1" applyFont="1" applyBorder="1" applyAlignment="1">
      <alignment horizontal="center" wrapText="1"/>
    </xf>
    <xf numFmtId="9" fontId="3" fillId="0" borderId="1" xfId="3" applyFont="1" applyBorder="1" applyAlignment="1">
      <alignment horizontal="center" wrapText="1"/>
    </xf>
    <xf numFmtId="0" fontId="5" fillId="0" borderId="1" xfId="2" applyFont="1" applyBorder="1" applyAlignment="1">
      <alignment horizontal="left" indent="1"/>
    </xf>
    <xf numFmtId="0" fontId="6" fillId="0" borderId="0" xfId="2" applyFont="1"/>
    <xf numFmtId="2" fontId="7" fillId="0" borderId="0" xfId="2" applyNumberFormat="1" applyFont="1"/>
    <xf numFmtId="0" fontId="7" fillId="0" borderId="0" xfId="2" applyFont="1"/>
    <xf numFmtId="0" fontId="5" fillId="0" borderId="1" xfId="2" applyFont="1" applyBorder="1" applyAlignment="1">
      <alignment vertical="top" wrapText="1"/>
    </xf>
    <xf numFmtId="0" fontId="3" fillId="0" borderId="0" xfId="2" applyFont="1"/>
    <xf numFmtId="2" fontId="3" fillId="0" borderId="0" xfId="2" applyNumberFormat="1" applyFont="1"/>
    <xf numFmtId="0" fontId="3" fillId="0" borderId="0" xfId="2" applyFont="1" applyAlignment="1">
      <alignment horizontal="center" vertical="center" wrapText="1"/>
    </xf>
    <xf numFmtId="2" fontId="5" fillId="0" borderId="1" xfId="2" applyNumberFormat="1" applyFont="1" applyBorder="1" applyAlignment="1">
      <alignment vertical="top"/>
    </xf>
    <xf numFmtId="0" fontId="3" fillId="0" borderId="1" xfId="2" applyFont="1" applyBorder="1" applyAlignment="1">
      <alignment vertical="top" wrapText="1"/>
    </xf>
    <xf numFmtId="2" fontId="3" fillId="0" borderId="1" xfId="2" applyNumberFormat="1" applyFont="1" applyBorder="1" applyAlignment="1">
      <alignment vertical="top"/>
    </xf>
    <xf numFmtId="0" fontId="5" fillId="0" borderId="0" xfId="2" applyFont="1" applyAlignment="1">
      <alignment vertical="top" wrapText="1"/>
    </xf>
    <xf numFmtId="2" fontId="5" fillId="0" borderId="0" xfId="2" applyNumberFormat="1" applyFont="1" applyAlignment="1">
      <alignment vertical="top"/>
    </xf>
    <xf numFmtId="2" fontId="3" fillId="2" borderId="1" xfId="2" applyNumberFormat="1" applyFont="1" applyFill="1" applyBorder="1"/>
    <xf numFmtId="0" fontId="3" fillId="0" borderId="2" xfId="2" applyFont="1" applyBorder="1" applyAlignment="1">
      <alignment vertical="center" wrapText="1"/>
    </xf>
    <xf numFmtId="2" fontId="5" fillId="3" borderId="1" xfId="2" applyNumberFormat="1" applyFont="1" applyFill="1" applyBorder="1"/>
    <xf numFmtId="9" fontId="5" fillId="3" borderId="1" xfId="1" applyFont="1" applyFill="1" applyBorder="1"/>
    <xf numFmtId="2" fontId="5" fillId="3" borderId="1" xfId="2" applyNumberFormat="1" applyFont="1" applyFill="1" applyBorder="1" applyAlignment="1">
      <alignment vertical="top"/>
    </xf>
    <xf numFmtId="0" fontId="4" fillId="0" borderId="1" xfId="0" applyFont="1" applyBorder="1"/>
    <xf numFmtId="0" fontId="4" fillId="0" borderId="0" xfId="0" applyFont="1" applyProtection="1">
      <protection hidden="1"/>
    </xf>
    <xf numFmtId="0" fontId="3" fillId="0" borderId="2" xfId="2" applyFont="1" applyBorder="1" applyAlignment="1">
      <alignment vertical="center"/>
    </xf>
    <xf numFmtId="0" fontId="8" fillId="0" borderId="1" xfId="0" applyFont="1" applyBorder="1"/>
    <xf numFmtId="0" fontId="9" fillId="0" borderId="0" xfId="0" applyFont="1"/>
    <xf numFmtId="0" fontId="5" fillId="0" borderId="0" xfId="0" applyFont="1"/>
    <xf numFmtId="2" fontId="3" fillId="0" borderId="1" xfId="4" applyNumberFormat="1" applyFont="1" applyBorder="1"/>
    <xf numFmtId="2" fontId="5" fillId="0" borderId="1" xfId="4" applyNumberFormat="1" applyFont="1" applyBorder="1"/>
    <xf numFmtId="0" fontId="3" fillId="0" borderId="1" xfId="0" applyFont="1" applyBorder="1"/>
    <xf numFmtId="2" fontId="5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wrapText="1"/>
    </xf>
    <xf numFmtId="2" fontId="3" fillId="0" borderId="1" xfId="0" applyNumberFormat="1" applyFont="1" applyBorder="1"/>
    <xf numFmtId="0" fontId="5" fillId="0" borderId="2" xfId="0" applyFont="1" applyBorder="1"/>
    <xf numFmtId="0" fontId="5" fillId="0" borderId="4" xfId="0" applyFont="1" applyBorder="1"/>
    <xf numFmtId="0" fontId="4" fillId="0" borderId="1" xfId="0" applyFont="1" applyBorder="1" applyAlignment="1">
      <alignment horizontal="justify" vertical="top"/>
    </xf>
    <xf numFmtId="0" fontId="4" fillId="0" borderId="1" xfId="0" applyFont="1" applyBorder="1" applyAlignment="1">
      <alignment horizontal="justify" vertical="top" wrapText="1"/>
    </xf>
    <xf numFmtId="2" fontId="4" fillId="0" borderId="1" xfId="0" applyNumberFormat="1" applyFont="1" applyBorder="1"/>
    <xf numFmtId="2" fontId="15" fillId="0" borderId="1" xfId="0" applyNumberFormat="1" applyFont="1" applyBorder="1" applyAlignment="1">
      <alignment horizontal="center"/>
    </xf>
    <xf numFmtId="2" fontId="14" fillId="0" borderId="1" xfId="0" applyNumberFormat="1" applyFont="1" applyBorder="1" applyAlignment="1">
      <alignment horizontal="center"/>
    </xf>
    <xf numFmtId="0" fontId="14" fillId="0" borderId="1" xfId="0" applyFont="1" applyBorder="1"/>
    <xf numFmtId="0" fontId="15" fillId="0" borderId="1" xfId="0" applyFont="1" applyBorder="1"/>
    <xf numFmtId="2" fontId="14" fillId="0" borderId="1" xfId="0" applyNumberFormat="1" applyFont="1" applyBorder="1"/>
    <xf numFmtId="0" fontId="13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2" fontId="8" fillId="0" borderId="0" xfId="0" applyNumberFormat="1" applyFont="1"/>
    <xf numFmtId="0" fontId="15" fillId="0" borderId="1" xfId="0" applyFont="1" applyBorder="1" applyAlignment="1">
      <alignment horizontal="left"/>
    </xf>
    <xf numFmtId="10" fontId="4" fillId="0" borderId="0" xfId="0" applyNumberFormat="1" applyFont="1"/>
    <xf numFmtId="0" fontId="14" fillId="0" borderId="1" xfId="0" applyFont="1" applyBorder="1" applyAlignment="1">
      <alignment horizontal="left"/>
    </xf>
    <xf numFmtId="0" fontId="14" fillId="0" borderId="9" xfId="0" applyFont="1" applyBorder="1" applyAlignment="1">
      <alignment horizontal="left"/>
    </xf>
    <xf numFmtId="2" fontId="5" fillId="0" borderId="1" xfId="5" applyNumberFormat="1" applyFont="1" applyFill="1" applyBorder="1" applyAlignment="1"/>
    <xf numFmtId="43" fontId="5" fillId="0" borderId="1" xfId="5" applyFont="1" applyFill="1" applyBorder="1" applyAlignment="1" applyProtection="1"/>
    <xf numFmtId="165" fontId="5" fillId="0" borderId="1" xfId="5" applyNumberFormat="1" applyFont="1" applyFill="1" applyBorder="1" applyAlignment="1" applyProtection="1"/>
    <xf numFmtId="43" fontId="3" fillId="0" borderId="1" xfId="5" applyFont="1" applyFill="1" applyBorder="1" applyAlignment="1" applyProtection="1"/>
    <xf numFmtId="10" fontId="5" fillId="0" borderId="1" xfId="6" applyNumberFormat="1" applyFont="1" applyFill="1" applyBorder="1" applyProtection="1"/>
    <xf numFmtId="165" fontId="5" fillId="0" borderId="2" xfId="5" applyNumberFormat="1" applyFont="1" applyFill="1" applyBorder="1" applyAlignment="1" applyProtection="1"/>
    <xf numFmtId="0" fontId="5" fillId="0" borderId="1" xfId="0" applyFont="1" applyBorder="1" applyAlignment="1">
      <alignment vertical="center"/>
    </xf>
    <xf numFmtId="10" fontId="3" fillId="0" borderId="1" xfId="0" applyNumberFormat="1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1" xfId="0" applyFont="1" applyBorder="1" applyAlignment="1">
      <alignment horizontal="right"/>
    </xf>
    <xf numFmtId="2" fontId="15" fillId="0" borderId="1" xfId="0" applyNumberFormat="1" applyFont="1" applyBorder="1"/>
    <xf numFmtId="0" fontId="15" fillId="0" borderId="1" xfId="0" applyFont="1" applyBorder="1" applyAlignment="1">
      <alignment wrapText="1"/>
    </xf>
    <xf numFmtId="2" fontId="15" fillId="0" borderId="1" xfId="0" applyNumberFormat="1" applyFont="1" applyBorder="1" applyAlignment="1">
      <alignment wrapText="1"/>
    </xf>
    <xf numFmtId="2" fontId="14" fillId="0" borderId="1" xfId="0" applyNumberFormat="1" applyFont="1" applyBorder="1" applyAlignment="1">
      <alignment horizontal="right"/>
    </xf>
    <xf numFmtId="10" fontId="14" fillId="0" borderId="1" xfId="0" applyNumberFormat="1" applyFont="1" applyBorder="1" applyAlignment="1">
      <alignment horizontal="right"/>
    </xf>
    <xf numFmtId="10" fontId="15" fillId="0" borderId="1" xfId="0" applyNumberFormat="1" applyFont="1" applyBorder="1" applyAlignment="1">
      <alignment horizontal="right"/>
    </xf>
    <xf numFmtId="0" fontId="15" fillId="0" borderId="1" xfId="0" applyFont="1" applyBorder="1" applyAlignment="1">
      <alignment horizontal="right"/>
    </xf>
    <xf numFmtId="9" fontId="15" fillId="0" borderId="1" xfId="0" applyNumberFormat="1" applyFont="1" applyBorder="1"/>
    <xf numFmtId="10" fontId="15" fillId="0" borderId="1" xfId="0" applyNumberFormat="1" applyFont="1" applyBorder="1"/>
    <xf numFmtId="2" fontId="3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2" fontId="4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2" fontId="14" fillId="0" borderId="3" xfId="0" applyNumberFormat="1" applyFont="1" applyBorder="1" applyAlignment="1">
      <alignment horizontal="center"/>
    </xf>
    <xf numFmtId="0" fontId="4" fillId="0" borderId="0" xfId="0" applyFont="1" applyAlignment="1">
      <alignment vertical="center"/>
    </xf>
    <xf numFmtId="0" fontId="8" fillId="0" borderId="1" xfId="0" applyFont="1" applyBorder="1" applyAlignment="1">
      <alignment horizontal="center"/>
    </xf>
    <xf numFmtId="2" fontId="18" fillId="0" borderId="1" xfId="0" applyNumberFormat="1" applyFont="1" applyBorder="1" applyAlignment="1">
      <alignment vertical="center"/>
    </xf>
    <xf numFmtId="0" fontId="19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vertical="center"/>
    </xf>
    <xf numFmtId="2" fontId="20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0" fontId="21" fillId="0" borderId="1" xfId="0" applyFont="1" applyBorder="1" applyAlignment="1">
      <alignment vertical="center"/>
    </xf>
    <xf numFmtId="2" fontId="21" fillId="0" borderId="1" xfId="0" applyNumberFormat="1" applyFont="1" applyBorder="1" applyAlignment="1">
      <alignment horizontal="center" vertical="center"/>
    </xf>
    <xf numFmtId="2" fontId="20" fillId="0" borderId="0" xfId="0" applyNumberFormat="1" applyFont="1" applyAlignment="1">
      <alignment horizontal="center" vertical="center"/>
    </xf>
    <xf numFmtId="2" fontId="21" fillId="0" borderId="5" xfId="0" applyNumberFormat="1" applyFont="1" applyBorder="1" applyAlignment="1">
      <alignment horizontal="center" vertical="center"/>
    </xf>
    <xf numFmtId="2" fontId="21" fillId="0" borderId="1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10" fontId="5" fillId="0" borderId="2" xfId="0" applyNumberFormat="1" applyFont="1" applyBorder="1" applyAlignment="1">
      <alignment vertical="center"/>
    </xf>
    <xf numFmtId="2" fontId="5" fillId="0" borderId="5" xfId="0" applyNumberFormat="1" applyFont="1" applyBorder="1" applyAlignment="1">
      <alignment vertical="center"/>
    </xf>
    <xf numFmtId="2" fontId="20" fillId="0" borderId="5" xfId="0" applyNumberFormat="1" applyFont="1" applyBorder="1" applyAlignment="1">
      <alignment vertical="center"/>
    </xf>
    <xf numFmtId="10" fontId="18" fillId="0" borderId="1" xfId="0" applyNumberFormat="1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4" fillId="3" borderId="1" xfId="0" applyFont="1" applyFill="1" applyBorder="1"/>
    <xf numFmtId="9" fontId="4" fillId="3" borderId="1" xfId="0" applyNumberFormat="1" applyFont="1" applyFill="1" applyBorder="1"/>
    <xf numFmtId="0" fontId="8" fillId="0" borderId="3" xfId="0" applyFont="1" applyBorder="1"/>
    <xf numFmtId="43" fontId="3" fillId="0" borderId="7" xfId="5" applyFont="1" applyFill="1" applyBorder="1" applyAlignment="1">
      <alignment horizontal="right"/>
    </xf>
    <xf numFmtId="43" fontId="3" fillId="0" borderId="1" xfId="5" applyFont="1" applyFill="1" applyBorder="1" applyAlignment="1">
      <alignment horizontal="right"/>
    </xf>
    <xf numFmtId="43" fontId="5" fillId="0" borderId="1" xfId="5" applyFont="1" applyFill="1" applyBorder="1" applyAlignment="1">
      <alignment horizontal="right"/>
    </xf>
    <xf numFmtId="43" fontId="5" fillId="0" borderId="0" xfId="5" applyFont="1" applyFill="1" applyAlignment="1">
      <alignment horizontal="right"/>
    </xf>
    <xf numFmtId="1" fontId="3" fillId="0" borderId="1" xfId="5" applyNumberFormat="1" applyFont="1" applyFill="1" applyBorder="1" applyAlignment="1">
      <alignment horizontal="center"/>
    </xf>
    <xf numFmtId="43" fontId="4" fillId="0" borderId="1" xfId="5" applyFont="1" applyBorder="1"/>
    <xf numFmtId="2" fontId="5" fillId="0" borderId="1" xfId="5" applyNumberFormat="1" applyFont="1" applyFill="1" applyBorder="1" applyAlignment="1">
      <alignment horizontal="right"/>
    </xf>
    <xf numFmtId="43" fontId="5" fillId="0" borderId="0" xfId="5" applyFont="1" applyFill="1"/>
    <xf numFmtId="43" fontId="3" fillId="0" borderId="1" xfId="5" applyFont="1" applyFill="1" applyBorder="1"/>
    <xf numFmtId="43" fontId="5" fillId="0" borderId="1" xfId="5" applyFont="1" applyFill="1" applyBorder="1"/>
    <xf numFmtId="43" fontId="5" fillId="0" borderId="4" xfId="5" applyFont="1" applyFill="1" applyBorder="1" applyAlignment="1"/>
    <xf numFmtId="1" fontId="3" fillId="0" borderId="1" xfId="5" applyNumberFormat="1" applyFont="1" applyFill="1" applyBorder="1" applyAlignment="1">
      <alignment vertical="center"/>
    </xf>
    <xf numFmtId="2" fontId="4" fillId="0" borderId="0" xfId="0" applyNumberFormat="1" applyFont="1"/>
    <xf numFmtId="43" fontId="4" fillId="0" borderId="0" xfId="5" applyFont="1"/>
    <xf numFmtId="10" fontId="4" fillId="0" borderId="1" xfId="5" applyNumberFormat="1" applyFont="1" applyBorder="1"/>
    <xf numFmtId="9" fontId="4" fillId="0" borderId="0" xfId="0" applyNumberFormat="1" applyFont="1"/>
    <xf numFmtId="164" fontId="5" fillId="0" borderId="0" xfId="0" applyNumberFormat="1" applyFont="1"/>
    <xf numFmtId="43" fontId="3" fillId="0" borderId="9" xfId="5" applyFont="1" applyFill="1" applyBorder="1" applyAlignment="1">
      <alignment horizontal="right"/>
    </xf>
    <xf numFmtId="1" fontId="3" fillId="0" borderId="2" xfId="5" applyNumberFormat="1" applyFont="1" applyFill="1" applyBorder="1" applyAlignment="1">
      <alignment horizontal="center"/>
    </xf>
    <xf numFmtId="43" fontId="5" fillId="0" borderId="2" xfId="5" applyFont="1" applyFill="1" applyBorder="1" applyAlignment="1">
      <alignment horizontal="right"/>
    </xf>
    <xf numFmtId="43" fontId="3" fillId="0" borderId="2" xfId="5" applyFont="1" applyFill="1" applyBorder="1" applyAlignment="1">
      <alignment horizontal="right"/>
    </xf>
    <xf numFmtId="43" fontId="4" fillId="0" borderId="1" xfId="5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43" fontId="8" fillId="0" borderId="1" xfId="5" applyFont="1" applyBorder="1" applyAlignment="1">
      <alignment horizontal="right"/>
    </xf>
    <xf numFmtId="2" fontId="22" fillId="0" borderId="1" xfId="0" applyNumberFormat="1" applyFont="1" applyBorder="1"/>
    <xf numFmtId="10" fontId="23" fillId="0" borderId="1" xfId="0" applyNumberFormat="1" applyFont="1" applyBorder="1"/>
    <xf numFmtId="9" fontId="4" fillId="0" borderId="0" xfId="1" applyFont="1"/>
    <xf numFmtId="17" fontId="0" fillId="0" borderId="0" xfId="0" applyNumberFormat="1"/>
    <xf numFmtId="43" fontId="0" fillId="0" borderId="0" xfId="5" applyFont="1"/>
    <xf numFmtId="0" fontId="25" fillId="0" borderId="11" xfId="0" applyFont="1" applyBorder="1" applyAlignment="1">
      <alignment vertical="top" wrapText="1"/>
    </xf>
    <xf numFmtId="0" fontId="25" fillId="0" borderId="12" xfId="0" applyFont="1" applyBorder="1" applyAlignment="1">
      <alignment vertical="top" wrapText="1"/>
    </xf>
    <xf numFmtId="166" fontId="4" fillId="0" borderId="0" xfId="0" applyNumberFormat="1" applyFont="1"/>
    <xf numFmtId="43" fontId="5" fillId="0" borderId="0" xfId="5" applyFont="1" applyFill="1" applyBorder="1" applyAlignment="1">
      <alignment horizontal="right"/>
    </xf>
    <xf numFmtId="0" fontId="26" fillId="0" borderId="13" xfId="0" applyFont="1" applyBorder="1" applyAlignment="1">
      <alignment vertical="top" wrapText="1"/>
    </xf>
    <xf numFmtId="0" fontId="27" fillId="0" borderId="14" xfId="0" applyFont="1" applyBorder="1" applyAlignment="1">
      <alignment horizontal="right" vertical="top" wrapText="1"/>
    </xf>
    <xf numFmtId="0" fontId="27" fillId="0" borderId="15" xfId="0" applyFont="1" applyBorder="1" applyAlignment="1">
      <alignment horizontal="right" vertical="top" wrapText="1"/>
    </xf>
    <xf numFmtId="0" fontId="28" fillId="0" borderId="13" xfId="0" applyFont="1" applyBorder="1" applyAlignment="1">
      <alignment vertical="top" wrapText="1"/>
    </xf>
    <xf numFmtId="0" fontId="25" fillId="0" borderId="15" xfId="0" applyFont="1" applyBorder="1" applyAlignment="1">
      <alignment horizontal="right" vertical="top" wrapText="1"/>
    </xf>
    <xf numFmtId="2" fontId="7" fillId="3" borderId="1" xfId="2" applyNumberFormat="1" applyFont="1" applyFill="1" applyBorder="1"/>
    <xf numFmtId="0" fontId="5" fillId="0" borderId="0" xfId="0" applyFont="1" applyProtection="1">
      <protection hidden="1"/>
    </xf>
    <xf numFmtId="2" fontId="5" fillId="0" borderId="0" xfId="2" applyNumberFormat="1" applyFont="1"/>
    <xf numFmtId="43" fontId="5" fillId="0" borderId="0" xfId="5" applyFont="1"/>
    <xf numFmtId="0" fontId="7" fillId="0" borderId="1" xfId="2" applyFont="1" applyBorder="1"/>
    <xf numFmtId="0" fontId="7" fillId="0" borderId="0" xfId="0" applyFont="1"/>
    <xf numFmtId="2" fontId="5" fillId="0" borderId="0" xfId="0" applyNumberFormat="1" applyFont="1"/>
    <xf numFmtId="0" fontId="4" fillId="4" borderId="1" xfId="0" applyFont="1" applyFill="1" applyBorder="1" applyAlignment="1">
      <alignment horizontal="justify" vertical="top"/>
    </xf>
    <xf numFmtId="2" fontId="4" fillId="4" borderId="1" xfId="0" applyNumberFormat="1" applyFont="1" applyFill="1" applyBorder="1"/>
    <xf numFmtId="0" fontId="4" fillId="4" borderId="0" xfId="0" applyFont="1" applyFill="1"/>
    <xf numFmtId="0" fontId="4" fillId="5" borderId="1" xfId="0" applyFont="1" applyFill="1" applyBorder="1" applyAlignment="1">
      <alignment horizontal="justify" vertical="top"/>
    </xf>
    <xf numFmtId="2" fontId="4" fillId="5" borderId="1" xfId="0" applyNumberFormat="1" applyFont="1" applyFill="1" applyBorder="1"/>
    <xf numFmtId="0" fontId="4" fillId="5" borderId="0" xfId="0" applyFont="1" applyFill="1"/>
    <xf numFmtId="0" fontId="4" fillId="6" borderId="1" xfId="0" applyFont="1" applyFill="1" applyBorder="1" applyAlignment="1">
      <alignment horizontal="justify" vertical="top"/>
    </xf>
    <xf numFmtId="2" fontId="4" fillId="6" borderId="1" xfId="0" applyNumberFormat="1" applyFont="1" applyFill="1" applyBorder="1"/>
    <xf numFmtId="0" fontId="4" fillId="6" borderId="0" xfId="0" applyFont="1" applyFill="1"/>
    <xf numFmtId="2" fontId="0" fillId="0" borderId="0" xfId="0" applyNumberFormat="1"/>
    <xf numFmtId="10" fontId="0" fillId="0" borderId="0" xfId="0" applyNumberFormat="1"/>
    <xf numFmtId="9" fontId="0" fillId="0" borderId="0" xfId="0" applyNumberFormat="1"/>
    <xf numFmtId="2" fontId="5" fillId="4" borderId="1" xfId="2" applyNumberFormat="1" applyFont="1" applyFill="1" applyBorder="1"/>
    <xf numFmtId="2" fontId="3" fillId="4" borderId="1" xfId="2" applyNumberFormat="1" applyFont="1" applyFill="1" applyBorder="1"/>
    <xf numFmtId="0" fontId="3" fillId="0" borderId="2" xfId="2" applyFont="1" applyBorder="1" applyAlignment="1">
      <alignment horizontal="center" vertical="center" wrapText="1"/>
    </xf>
    <xf numFmtId="0" fontId="3" fillId="0" borderId="4" xfId="2" applyFont="1" applyBorder="1" applyAlignment="1">
      <alignment horizontal="center" vertical="center" wrapText="1"/>
    </xf>
    <xf numFmtId="0" fontId="3" fillId="0" borderId="4" xfId="2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8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2" fontId="14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0" borderId="2" xfId="5" applyNumberFormat="1" applyFont="1" applyFill="1" applyBorder="1" applyAlignment="1">
      <alignment horizontal="center" vertical="center"/>
    </xf>
    <xf numFmtId="165" fontId="3" fillId="0" borderId="5" xfId="5" applyNumberFormat="1" applyFont="1" applyFill="1" applyBorder="1" applyAlignment="1">
      <alignment horizontal="center" vertical="center"/>
    </xf>
    <xf numFmtId="165" fontId="5" fillId="0" borderId="1" xfId="5" applyNumberFormat="1" applyFont="1" applyFill="1" applyBorder="1" applyAlignment="1">
      <alignment horizontal="left" vertical="center"/>
    </xf>
    <xf numFmtId="165" fontId="3" fillId="0" borderId="1" xfId="5" applyNumberFormat="1" applyFont="1" applyFill="1" applyBorder="1" applyAlignment="1">
      <alignment horizontal="left" vertical="center"/>
    </xf>
    <xf numFmtId="165" fontId="5" fillId="0" borderId="7" xfId="5" applyNumberFormat="1" applyFont="1" applyFill="1" applyBorder="1" applyAlignment="1">
      <alignment horizontal="left" vertical="center"/>
    </xf>
  </cellXfs>
  <cellStyles count="9">
    <cellStyle name="Comma" xfId="5" builtinId="3"/>
    <cellStyle name="Comma 15 2" xfId="7" xr:uid="{00000000-0005-0000-0000-000001000000}"/>
    <cellStyle name="Comma 3" xfId="8" xr:uid="{00000000-0005-0000-0000-000002000000}"/>
    <cellStyle name="Normal" xfId="0" builtinId="0"/>
    <cellStyle name="Normal 2" xfId="2" xr:uid="{00000000-0005-0000-0000-000004000000}"/>
    <cellStyle name="Normal 2 5" xfId="4" xr:uid="{00000000-0005-0000-0000-000005000000}"/>
    <cellStyle name="Percent" xfId="1" builtinId="5"/>
    <cellStyle name="Percent 2" xfId="3" xr:uid="{00000000-0005-0000-0000-000007000000}"/>
    <cellStyle name="Percent 3" xfId="6" xr:uid="{00000000-0005-0000-0000-000008000000}"/>
  </cellStyles>
  <dxfs count="4"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0</xdr:row>
          <xdr:rowOff>114300</xdr:rowOff>
        </xdr:from>
        <xdr:to>
          <xdr:col>9</xdr:col>
          <xdr:colOff>161925</xdr:colOff>
          <xdr:row>2</xdr:row>
          <xdr:rowOff>38100</xdr:rowOff>
        </xdr:to>
        <xdr:sp macro="" textlink="">
          <xdr:nvSpPr>
            <xdr:cNvPr id="1029" name="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Refresh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5136143/AppData/Local/Microsoft/Windows/INetCache/Content.Outlook/EUBXBSB7/sample%20copy%20of%20BSA%20for%20Propos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5136143/AppData/Local/Microsoft/Windows/INetCache/Content.Outlook/EUBXBSB7/TEV_Report_Final_24_03_201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B S A"/>
      <sheetName val="P &amp; L A"/>
      <sheetName val="MPBF Calc."/>
      <sheetName val="Projected B S"/>
      <sheetName val="Projected P &amp; L"/>
      <sheetName val="Projected Fund Flow"/>
      <sheetName val="Financial Summary"/>
      <sheetName val="MPBF Nayak Com."/>
      <sheetName val="Collateral"/>
      <sheetName val="Position of Account"/>
      <sheetName val="Sheet1"/>
      <sheetName val="Sheet2"/>
    </sheetNames>
    <sheetDataSet>
      <sheetData sheetId="0"/>
      <sheetData sheetId="1"/>
      <sheetData sheetId="2">
        <row r="16">
          <cell r="A16" t="str">
            <v>Total Receipts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V-Profitability Total"/>
      <sheetName val="Sensitivity Analysis-Raw Mat"/>
      <sheetName val="Tax Calculation"/>
      <sheetName val="TEV-BEP"/>
    </sheetNames>
    <sheetDataSet>
      <sheetData sheetId="0">
        <row r="29">
          <cell r="A29" t="str">
            <v>Administrative &amp; Selling Expenses</v>
          </cell>
        </row>
      </sheetData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72C407-1F27-4EE1-8ECD-2AEF36025176}" name="Table1" displayName="Table1" ref="A1:E137" totalsRowShown="0">
  <autoFilter ref="A1:E137" xr:uid="{8A72C407-1F27-4EE1-8ECD-2AEF36025176}"/>
  <tableColumns count="5">
    <tableColumn id="1" xr3:uid="{2E9432FE-355D-4691-8B8C-811BC7F7E1E3}" name="Column1"/>
    <tableColumn id="8" xr3:uid="{70B6C251-A3BD-400F-BBBD-787B15279EAE}" name="2023" dataDxfId="3"/>
    <tableColumn id="9" xr3:uid="{FBE5109D-746A-47AE-B2DF-1545544CE143}" name="2024" dataDxfId="2"/>
    <tableColumn id="10" xr3:uid="{0DE19489-8D65-4215-9227-31060A32FC83}" name="2025" dataDxfId="1"/>
    <tableColumn id="11" xr3:uid="{EB275BE3-ABB5-4991-B332-27E493BBE6F8}" name="202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170"/>
  <sheetViews>
    <sheetView showGridLines="0" tabSelected="1" topLeftCell="A79" zoomScale="127" zoomScaleNormal="127" zoomScaleSheetLayoutView="130" workbookViewId="0">
      <selection activeCell="I101" sqref="I101"/>
    </sheetView>
  </sheetViews>
  <sheetFormatPr defaultColWidth="9.140625" defaultRowHeight="12.75" x14ac:dyDescent="0.2"/>
  <cols>
    <col min="1" max="1" width="15.5703125" style="3" bestFit="1" customWidth="1"/>
    <col min="2" max="2" width="49" style="3" customWidth="1"/>
    <col min="3" max="3" width="8.28515625" style="3" hidden="1" customWidth="1"/>
    <col min="4" max="4" width="8.5703125" style="3" hidden="1" customWidth="1"/>
    <col min="5" max="5" width="9.140625" style="3" hidden="1" customWidth="1"/>
    <col min="6" max="6" width="9.5703125" style="3" hidden="1" customWidth="1"/>
    <col min="7" max="7" width="9.140625" style="3" hidden="1" customWidth="1"/>
    <col min="8" max="8" width="9.42578125" style="3" bestFit="1" customWidth="1"/>
    <col min="9" max="9" width="10" style="35" bestFit="1" customWidth="1"/>
    <col min="10" max="10" width="11.42578125" style="3" bestFit="1" customWidth="1"/>
    <col min="11" max="11" width="10.85546875" style="3" customWidth="1"/>
    <col min="12" max="12" width="9.28515625" style="3" customWidth="1"/>
    <col min="13" max="18" width="9.140625" style="3" customWidth="1"/>
    <col min="19" max="16384" width="9.140625" style="3"/>
  </cols>
  <sheetData>
    <row r="1" spans="1:12" x14ac:dyDescent="0.2">
      <c r="B1" s="33" t="s">
        <v>100</v>
      </c>
      <c r="H1" s="33">
        <v>2022</v>
      </c>
    </row>
    <row r="2" spans="1:12" x14ac:dyDescent="0.2">
      <c r="B2" s="33" t="s">
        <v>102</v>
      </c>
      <c r="H2" s="33">
        <v>5</v>
      </c>
    </row>
    <row r="3" spans="1:12" x14ac:dyDescent="0.2">
      <c r="B3" s="33" t="s">
        <v>101</v>
      </c>
      <c r="H3" s="33">
        <v>2</v>
      </c>
    </row>
    <row r="4" spans="1:12" x14ac:dyDescent="0.2">
      <c r="A4" s="33" t="s">
        <v>104</v>
      </c>
      <c r="B4" s="30" t="s">
        <v>430</v>
      </c>
      <c r="C4" s="31"/>
      <c r="D4" s="31"/>
      <c r="E4" s="31"/>
      <c r="F4" s="31"/>
      <c r="G4" s="31"/>
      <c r="H4" s="31"/>
      <c r="I4" s="148"/>
      <c r="J4" s="31"/>
      <c r="K4" s="31"/>
      <c r="L4" s="31"/>
    </row>
    <row r="5" spans="1:12" x14ac:dyDescent="0.2">
      <c r="A5" s="33" t="s">
        <v>105</v>
      </c>
      <c r="B5" s="30" t="s">
        <v>381</v>
      </c>
      <c r="C5" s="31"/>
      <c r="D5" s="31"/>
      <c r="E5" s="31"/>
      <c r="F5" s="31"/>
      <c r="G5" s="31"/>
      <c r="H5" s="31"/>
      <c r="I5" s="148"/>
      <c r="J5" s="31"/>
      <c r="K5" s="31"/>
      <c r="L5" s="31"/>
    </row>
    <row r="6" spans="1:12" x14ac:dyDescent="0.2">
      <c r="A6" s="33" t="s">
        <v>106</v>
      </c>
      <c r="B6" s="30" t="s">
        <v>431</v>
      </c>
      <c r="C6" s="31"/>
      <c r="D6" s="31"/>
      <c r="E6" s="31"/>
      <c r="F6" s="31"/>
      <c r="G6" s="31"/>
      <c r="H6" s="31"/>
      <c r="I6" s="148"/>
      <c r="J6" s="31"/>
      <c r="K6" s="31"/>
      <c r="L6" s="31"/>
    </row>
    <row r="7" spans="1:12" x14ac:dyDescent="0.2">
      <c r="A7" s="33" t="s">
        <v>107</v>
      </c>
      <c r="B7" s="30" t="s">
        <v>432</v>
      </c>
      <c r="C7" s="31"/>
      <c r="D7" s="31"/>
      <c r="E7" s="31"/>
      <c r="F7" s="31"/>
      <c r="G7" s="31"/>
      <c r="H7" s="31"/>
      <c r="I7" s="148"/>
      <c r="J7" s="31"/>
      <c r="K7" s="31"/>
      <c r="L7" s="31"/>
    </row>
    <row r="8" spans="1:12" hidden="1" x14ac:dyDescent="0.2">
      <c r="C8" s="3">
        <v>5</v>
      </c>
      <c r="D8" s="3">
        <v>4</v>
      </c>
      <c r="E8" s="3">
        <v>3</v>
      </c>
      <c r="F8" s="3">
        <v>2</v>
      </c>
      <c r="G8" s="3">
        <v>1</v>
      </c>
      <c r="H8" s="3">
        <v>0</v>
      </c>
      <c r="I8" s="35">
        <v>1</v>
      </c>
      <c r="J8" s="3">
        <v>2</v>
      </c>
      <c r="K8" s="3">
        <v>3</v>
      </c>
      <c r="L8" s="3">
        <v>3</v>
      </c>
    </row>
    <row r="9" spans="1:12" hidden="1" x14ac:dyDescent="0.2">
      <c r="C9" s="3">
        <f>+IF($H$2&lt;C8,0,1)</f>
        <v>1</v>
      </c>
      <c r="D9" s="3">
        <f>+IF($H$2&lt;D8,0,1)</f>
        <v>1</v>
      </c>
      <c r="E9" s="3">
        <f>+IF($H$2&lt;E8,0,1)</f>
        <v>1</v>
      </c>
      <c r="F9" s="3">
        <f>+IF($H$2&lt;F8,0,1)</f>
        <v>1</v>
      </c>
      <c r="G9" s="3">
        <f>+IF($H$2&lt;G8,0,1)</f>
        <v>1</v>
      </c>
      <c r="H9" s="3">
        <v>1</v>
      </c>
      <c r="I9" s="35">
        <f t="shared" ref="I9:K9" si="0">+IF(I8&lt;=$H$3, 1, 0)</f>
        <v>1</v>
      </c>
      <c r="J9" s="3">
        <f t="shared" si="0"/>
        <v>1</v>
      </c>
      <c r="K9" s="3">
        <f t="shared" si="0"/>
        <v>0</v>
      </c>
      <c r="L9" s="3">
        <f t="shared" ref="L9" si="1">+IF(L8&lt;=$H$3, 1, 0)</f>
        <v>0</v>
      </c>
    </row>
    <row r="10" spans="1:12" x14ac:dyDescent="0.2">
      <c r="B10" s="1"/>
      <c r="C10" s="26" t="s">
        <v>109</v>
      </c>
      <c r="D10" s="26" t="s">
        <v>109</v>
      </c>
      <c r="E10" s="26" t="s">
        <v>109</v>
      </c>
      <c r="F10" s="26" t="s">
        <v>109</v>
      </c>
      <c r="G10" s="26" t="s">
        <v>109</v>
      </c>
      <c r="H10" s="2" t="s">
        <v>109</v>
      </c>
      <c r="I10" s="32" t="s">
        <v>109</v>
      </c>
      <c r="J10" s="32" t="s">
        <v>109</v>
      </c>
      <c r="K10" s="32" t="s">
        <v>108</v>
      </c>
      <c r="L10" s="32" t="s">
        <v>108</v>
      </c>
    </row>
    <row r="11" spans="1:12" x14ac:dyDescent="0.2">
      <c r="B11" s="4" t="s">
        <v>0</v>
      </c>
      <c r="C11" s="5">
        <f t="shared" ref="C11:F11" si="2">IF(D11="", "", D11-1)</f>
        <v>2017</v>
      </c>
      <c r="D11" s="5">
        <f t="shared" si="2"/>
        <v>2018</v>
      </c>
      <c r="E11" s="5">
        <f t="shared" si="2"/>
        <v>2019</v>
      </c>
      <c r="F11" s="5">
        <f t="shared" si="2"/>
        <v>2020</v>
      </c>
      <c r="G11" s="5">
        <f>IF(H11="", "", H11-1)</f>
        <v>2021</v>
      </c>
      <c r="H11" s="5">
        <f>+IF(H1="", "", H1)</f>
        <v>2022</v>
      </c>
      <c r="I11" s="5">
        <f>IF(H11="", "", H11+1)</f>
        <v>2023</v>
      </c>
      <c r="J11" s="5">
        <f>IF(I11="", "", I11+1)</f>
        <v>2024</v>
      </c>
      <c r="K11" s="5">
        <f t="shared" ref="K11:L11" si="3">IF(J11="", "", J11+1)</f>
        <v>2025</v>
      </c>
      <c r="L11" s="5">
        <f t="shared" si="3"/>
        <v>2026</v>
      </c>
    </row>
    <row r="12" spans="1:12" x14ac:dyDescent="0.2">
      <c r="B12" s="4" t="s">
        <v>1</v>
      </c>
      <c r="C12" s="6">
        <f>SUM(C13:C14)</f>
        <v>0</v>
      </c>
      <c r="D12" s="6">
        <f t="shared" ref="D12:K12" si="4">SUM(D13:D14)</f>
        <v>0</v>
      </c>
      <c r="E12" s="6">
        <f t="shared" si="4"/>
        <v>0</v>
      </c>
      <c r="F12" s="6">
        <f t="shared" si="4"/>
        <v>0</v>
      </c>
      <c r="G12" s="6">
        <f t="shared" si="4"/>
        <v>0</v>
      </c>
      <c r="H12" s="6">
        <f t="shared" si="4"/>
        <v>0</v>
      </c>
      <c r="I12" s="6">
        <f t="shared" si="4"/>
        <v>564.38</v>
      </c>
      <c r="J12" s="6">
        <f t="shared" si="4"/>
        <v>471.12</v>
      </c>
      <c r="K12" s="6">
        <f t="shared" si="4"/>
        <v>528.88</v>
      </c>
      <c r="L12" s="6">
        <f t="shared" ref="L12" si="5">SUM(L13:L14)</f>
        <v>603.94000000000005</v>
      </c>
    </row>
    <row r="13" spans="1:12" x14ac:dyDescent="0.2">
      <c r="B13" s="7" t="s">
        <v>2</v>
      </c>
      <c r="C13" s="27"/>
      <c r="D13" s="27"/>
      <c r="E13" s="27"/>
      <c r="F13" s="27"/>
      <c r="G13" s="27"/>
      <c r="H13" s="27"/>
      <c r="I13" s="27">
        <v>564.38</v>
      </c>
      <c r="J13" s="27">
        <v>471.12</v>
      </c>
      <c r="K13" s="27">
        <v>528.88</v>
      </c>
      <c r="L13" s="27">
        <v>603.94000000000005</v>
      </c>
    </row>
    <row r="14" spans="1:12" x14ac:dyDescent="0.2">
      <c r="B14" s="7" t="s">
        <v>3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</row>
    <row r="15" spans="1:12" x14ac:dyDescent="0.2">
      <c r="B15" s="7" t="s">
        <v>4</v>
      </c>
      <c r="C15" s="27"/>
      <c r="D15" s="27"/>
      <c r="E15" s="27"/>
      <c r="F15" s="27"/>
      <c r="G15" s="27"/>
      <c r="H15" s="27"/>
      <c r="I15" s="27"/>
      <c r="J15" s="27"/>
      <c r="K15" s="27"/>
      <c r="L15" s="27"/>
    </row>
    <row r="16" spans="1:12" x14ac:dyDescent="0.2">
      <c r="B16" s="4" t="s">
        <v>5</v>
      </c>
      <c r="C16" s="25">
        <f t="shared" ref="C16:K16" si="6">SUM(C13:C15)</f>
        <v>0</v>
      </c>
      <c r="D16" s="25">
        <f t="shared" si="6"/>
        <v>0</v>
      </c>
      <c r="E16" s="25">
        <f t="shared" si="6"/>
        <v>0</v>
      </c>
      <c r="F16" s="25">
        <f t="shared" si="6"/>
        <v>0</v>
      </c>
      <c r="G16" s="25">
        <f t="shared" si="6"/>
        <v>0</v>
      </c>
      <c r="H16" s="25">
        <f t="shared" si="6"/>
        <v>0</v>
      </c>
      <c r="I16" s="25">
        <f t="shared" si="6"/>
        <v>564.38</v>
      </c>
      <c r="J16" s="25">
        <f t="shared" si="6"/>
        <v>471.12</v>
      </c>
      <c r="K16" s="25">
        <f t="shared" si="6"/>
        <v>528.88</v>
      </c>
      <c r="L16" s="25">
        <f t="shared" ref="L16" si="7">SUM(L13:L15)</f>
        <v>603.94000000000005</v>
      </c>
    </row>
    <row r="17" spans="2:12" x14ac:dyDescent="0.2">
      <c r="B17" s="7" t="s">
        <v>6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</row>
    <row r="18" spans="2:12" x14ac:dyDescent="0.2">
      <c r="B18" s="4" t="s">
        <v>7</v>
      </c>
      <c r="C18" s="6">
        <f t="shared" ref="C18:K18" si="8">C16-C17</f>
        <v>0</v>
      </c>
      <c r="D18" s="6">
        <f t="shared" si="8"/>
        <v>0</v>
      </c>
      <c r="E18" s="6">
        <f>E16-E17</f>
        <v>0</v>
      </c>
      <c r="F18" s="6">
        <f t="shared" si="8"/>
        <v>0</v>
      </c>
      <c r="G18" s="6">
        <f>G16-G17</f>
        <v>0</v>
      </c>
      <c r="H18" s="6">
        <f t="shared" si="8"/>
        <v>0</v>
      </c>
      <c r="I18" s="6">
        <f t="shared" si="8"/>
        <v>564.38</v>
      </c>
      <c r="J18" s="6">
        <f t="shared" si="8"/>
        <v>471.12</v>
      </c>
      <c r="K18" s="6">
        <f t="shared" si="8"/>
        <v>528.88</v>
      </c>
      <c r="L18" s="6">
        <f t="shared" ref="L18" si="9">L16-L17</f>
        <v>603.94000000000005</v>
      </c>
    </row>
    <row r="19" spans="2:12" x14ac:dyDescent="0.2">
      <c r="B19" s="9" t="s">
        <v>8</v>
      </c>
      <c r="C19" s="10" t="s">
        <v>99</v>
      </c>
      <c r="D19" s="11" t="e">
        <f>(D18-C18)/C18</f>
        <v>#DIV/0!</v>
      </c>
      <c r="E19" s="11" t="e">
        <f>(E18-D18)/D18</f>
        <v>#DIV/0!</v>
      </c>
      <c r="F19" s="10" t="e">
        <f>(F18-E18)/E18</f>
        <v>#DIV/0!</v>
      </c>
      <c r="G19" s="10" t="e">
        <f t="shared" ref="G19:L19" si="10">(G18-F18)/F18</f>
        <v>#DIV/0!</v>
      </c>
      <c r="H19" s="10" t="e">
        <f>(H18-G18)/G18</f>
        <v>#DIV/0!</v>
      </c>
      <c r="I19" s="10" t="e">
        <f>(I18-H18)/H18</f>
        <v>#DIV/0!</v>
      </c>
      <c r="J19" s="10">
        <f t="shared" si="10"/>
        <v>-0.16524327580708031</v>
      </c>
      <c r="K19" s="10">
        <f t="shared" si="10"/>
        <v>0.12260146034980469</v>
      </c>
      <c r="L19" s="10">
        <f t="shared" si="10"/>
        <v>0.14192255332022399</v>
      </c>
    </row>
    <row r="20" spans="2:12" x14ac:dyDescent="0.2">
      <c r="B20" s="4" t="s">
        <v>9</v>
      </c>
      <c r="C20" s="8"/>
      <c r="D20" s="8"/>
      <c r="E20" s="8"/>
      <c r="F20" s="8"/>
      <c r="G20" s="8"/>
      <c r="H20" s="8"/>
      <c r="I20" s="8"/>
      <c r="J20" s="7"/>
      <c r="K20" s="7"/>
      <c r="L20" s="7"/>
    </row>
    <row r="21" spans="2:12" x14ac:dyDescent="0.2">
      <c r="B21" s="7" t="s">
        <v>279</v>
      </c>
      <c r="C21" s="8">
        <f>IF((C22+C23)="", "", C22+C23)</f>
        <v>0</v>
      </c>
      <c r="D21" s="8">
        <f t="shared" ref="D21:K21" si="11">IF((D22+D23)="", "", D22+D23)</f>
        <v>0</v>
      </c>
      <c r="E21" s="8">
        <f t="shared" si="11"/>
        <v>0</v>
      </c>
      <c r="F21" s="8">
        <f t="shared" si="11"/>
        <v>0</v>
      </c>
      <c r="G21" s="8">
        <f t="shared" si="11"/>
        <v>0</v>
      </c>
      <c r="H21" s="8">
        <f t="shared" si="11"/>
        <v>0</v>
      </c>
      <c r="I21" s="8">
        <f t="shared" si="11"/>
        <v>473.14</v>
      </c>
      <c r="J21" s="8">
        <f t="shared" si="11"/>
        <v>384.37</v>
      </c>
      <c r="K21" s="8">
        <f t="shared" si="11"/>
        <v>435.88</v>
      </c>
      <c r="L21" s="8">
        <f t="shared" ref="L21" si="12">IF((L22+L23)="", "", L22+L23)</f>
        <v>491.28</v>
      </c>
    </row>
    <row r="22" spans="2:12" x14ac:dyDescent="0.2">
      <c r="B22" s="7" t="s">
        <v>89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2:12" x14ac:dyDescent="0.2">
      <c r="B23" s="7" t="s">
        <v>10</v>
      </c>
      <c r="C23" s="27"/>
      <c r="D23" s="27"/>
      <c r="E23" s="27"/>
      <c r="F23" s="27"/>
      <c r="G23" s="27"/>
      <c r="H23" s="27"/>
      <c r="I23" s="27">
        <v>473.14</v>
      </c>
      <c r="J23" s="27">
        <v>384.37</v>
      </c>
      <c r="K23" s="27">
        <v>435.88</v>
      </c>
      <c r="L23" s="27">
        <v>491.28</v>
      </c>
    </row>
    <row r="24" spans="2:12" x14ac:dyDescent="0.2">
      <c r="B24" s="7" t="s">
        <v>396</v>
      </c>
      <c r="C24" s="27"/>
      <c r="D24" s="27"/>
      <c r="E24" s="27"/>
      <c r="F24" s="27"/>
      <c r="G24" s="27"/>
      <c r="H24" s="27"/>
      <c r="I24" s="27">
        <v>11.37</v>
      </c>
      <c r="J24" s="27">
        <v>8.3000000000000007</v>
      </c>
      <c r="K24" s="27">
        <v>9.81</v>
      </c>
      <c r="L24" s="27">
        <v>11.05</v>
      </c>
    </row>
    <row r="25" spans="2:12" x14ac:dyDescent="0.2">
      <c r="B25" s="7" t="s">
        <v>11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</row>
    <row r="26" spans="2:12" x14ac:dyDescent="0.2">
      <c r="B26" s="7" t="s">
        <v>12</v>
      </c>
      <c r="C26" s="27"/>
      <c r="D26" s="27"/>
      <c r="E26" s="27"/>
      <c r="F26" s="27"/>
      <c r="G26" s="27"/>
      <c r="H26" s="27"/>
      <c r="I26" s="27">
        <v>71.290000000000006</v>
      </c>
      <c r="J26" s="27">
        <v>61.98</v>
      </c>
      <c r="K26" s="27">
        <v>70.349999999999994</v>
      </c>
      <c r="L26" s="27">
        <v>80</v>
      </c>
    </row>
    <row r="27" spans="2:12" x14ac:dyDescent="0.2">
      <c r="B27" s="7" t="s">
        <v>13</v>
      </c>
      <c r="C27" s="27"/>
      <c r="D27" s="27"/>
      <c r="E27" s="27"/>
      <c r="F27" s="27"/>
      <c r="G27" s="27"/>
      <c r="H27" s="27"/>
      <c r="I27" s="27">
        <v>0.8</v>
      </c>
      <c r="J27" s="27">
        <v>0.89</v>
      </c>
      <c r="K27" s="27">
        <v>1.63</v>
      </c>
      <c r="L27" s="27">
        <v>1.79</v>
      </c>
    </row>
    <row r="28" spans="2:12" x14ac:dyDescent="0.2">
      <c r="B28" s="7" t="s">
        <v>14</v>
      </c>
      <c r="C28" s="27"/>
      <c r="D28" s="27"/>
      <c r="E28" s="27"/>
      <c r="F28" s="27"/>
      <c r="G28" s="27"/>
      <c r="H28" s="27"/>
      <c r="I28" s="27">
        <f>0.03+1.17</f>
        <v>1.2</v>
      </c>
      <c r="J28" s="27">
        <f>0.05+0.98</f>
        <v>1.03</v>
      </c>
      <c r="K28" s="27">
        <v>1.08</v>
      </c>
      <c r="L28" s="27">
        <v>1.19</v>
      </c>
    </row>
    <row r="29" spans="2:12" x14ac:dyDescent="0.2">
      <c r="B29" s="7" t="s">
        <v>15</v>
      </c>
      <c r="C29" s="27"/>
      <c r="D29" s="27"/>
      <c r="E29" s="27"/>
      <c r="F29" s="27"/>
      <c r="G29" s="27"/>
      <c r="H29" s="27"/>
      <c r="I29" s="27">
        <v>3.23</v>
      </c>
      <c r="J29" s="27">
        <v>3.47</v>
      </c>
      <c r="K29" s="27">
        <v>3.4</v>
      </c>
      <c r="L29" s="27">
        <v>3.4</v>
      </c>
    </row>
    <row r="30" spans="2:12" x14ac:dyDescent="0.2">
      <c r="B30" s="4" t="s">
        <v>16</v>
      </c>
      <c r="C30" s="6">
        <f>SUM(C24:C29)+C21</f>
        <v>0</v>
      </c>
      <c r="D30" s="6">
        <f t="shared" ref="D30:K30" si="13">SUM(D24:D29)+D21</f>
        <v>0</v>
      </c>
      <c r="E30" s="6">
        <f t="shared" si="13"/>
        <v>0</v>
      </c>
      <c r="F30" s="6">
        <f t="shared" si="13"/>
        <v>0</v>
      </c>
      <c r="G30" s="6">
        <f t="shared" si="13"/>
        <v>0</v>
      </c>
      <c r="H30" s="6">
        <f t="shared" si="13"/>
        <v>0</v>
      </c>
      <c r="I30" s="6">
        <f t="shared" si="13"/>
        <v>561.03</v>
      </c>
      <c r="J30" s="6">
        <f t="shared" si="13"/>
        <v>460.04</v>
      </c>
      <c r="K30" s="6">
        <f t="shared" si="13"/>
        <v>522.15</v>
      </c>
      <c r="L30" s="6">
        <f t="shared" ref="L30" si="14">SUM(L24:L29)+L21</f>
        <v>588.71</v>
      </c>
    </row>
    <row r="31" spans="2:12" x14ac:dyDescent="0.2">
      <c r="B31" s="4" t="s">
        <v>17</v>
      </c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2:12" x14ac:dyDescent="0.2">
      <c r="B32" s="7" t="s">
        <v>18</v>
      </c>
      <c r="C32" s="27"/>
      <c r="D32" s="27"/>
      <c r="E32" s="27"/>
      <c r="F32" s="27"/>
      <c r="G32" s="27"/>
      <c r="H32" s="27"/>
      <c r="I32" s="27"/>
      <c r="J32" s="27"/>
      <c r="K32" s="27"/>
      <c r="L32" s="27"/>
    </row>
    <row r="33" spans="2:12" x14ac:dyDescent="0.2">
      <c r="B33" s="4" t="s">
        <v>19</v>
      </c>
      <c r="C33" s="6">
        <f t="shared" ref="C33" si="15">C30+C32</f>
        <v>0</v>
      </c>
      <c r="D33" s="6">
        <f t="shared" ref="D33:K33" si="16">D30+D32</f>
        <v>0</v>
      </c>
      <c r="E33" s="6">
        <f t="shared" si="16"/>
        <v>0</v>
      </c>
      <c r="F33" s="6">
        <f t="shared" si="16"/>
        <v>0</v>
      </c>
      <c r="G33" s="6">
        <f t="shared" si="16"/>
        <v>0</v>
      </c>
      <c r="H33" s="6">
        <f t="shared" si="16"/>
        <v>0</v>
      </c>
      <c r="I33" s="6">
        <f t="shared" si="16"/>
        <v>561.03</v>
      </c>
      <c r="J33" s="6">
        <f t="shared" si="16"/>
        <v>460.04</v>
      </c>
      <c r="K33" s="6">
        <f t="shared" si="16"/>
        <v>522.15</v>
      </c>
      <c r="L33" s="6">
        <f t="shared" ref="L33" si="17">L30+L32</f>
        <v>588.71</v>
      </c>
    </row>
    <row r="34" spans="2:12" x14ac:dyDescent="0.2">
      <c r="B34" s="7" t="s">
        <v>20</v>
      </c>
      <c r="C34" s="27"/>
      <c r="D34" s="27"/>
      <c r="E34" s="27"/>
      <c r="F34" s="27"/>
      <c r="G34" s="27"/>
      <c r="H34" s="27"/>
      <c r="I34" s="27"/>
      <c r="J34" s="27"/>
      <c r="K34" s="27"/>
      <c r="L34" s="27"/>
    </row>
    <row r="35" spans="2:12" x14ac:dyDescent="0.2">
      <c r="B35" s="4" t="s">
        <v>21</v>
      </c>
      <c r="C35" s="6">
        <f t="shared" ref="C35" si="18">C33-C34</f>
        <v>0</v>
      </c>
      <c r="D35" s="6">
        <f t="shared" ref="D35:K35" si="19">D33-D34</f>
        <v>0</v>
      </c>
      <c r="E35" s="6">
        <f t="shared" si="19"/>
        <v>0</v>
      </c>
      <c r="F35" s="6">
        <f t="shared" si="19"/>
        <v>0</v>
      </c>
      <c r="G35" s="6">
        <f t="shared" si="19"/>
        <v>0</v>
      </c>
      <c r="H35" s="6">
        <f t="shared" si="19"/>
        <v>0</v>
      </c>
      <c r="I35" s="6">
        <f t="shared" si="19"/>
        <v>561.03</v>
      </c>
      <c r="J35" s="6">
        <f t="shared" si="19"/>
        <v>460.04</v>
      </c>
      <c r="K35" s="6">
        <f t="shared" si="19"/>
        <v>522.15</v>
      </c>
      <c r="L35" s="6">
        <f t="shared" ref="L35" si="20">L33-L34</f>
        <v>588.71</v>
      </c>
    </row>
    <row r="36" spans="2:12" x14ac:dyDescent="0.2">
      <c r="B36" s="7" t="s">
        <v>22</v>
      </c>
      <c r="C36" s="27"/>
      <c r="D36" s="27"/>
      <c r="E36" s="27"/>
      <c r="F36" s="27"/>
      <c r="G36" s="27"/>
      <c r="H36" s="27"/>
      <c r="I36" s="27">
        <v>11.09</v>
      </c>
      <c r="J36" s="27">
        <v>22.59</v>
      </c>
      <c r="K36" s="27">
        <v>25.66</v>
      </c>
      <c r="L36" s="27">
        <v>36.36</v>
      </c>
    </row>
    <row r="37" spans="2:12" x14ac:dyDescent="0.2">
      <c r="B37" s="7" t="s">
        <v>19</v>
      </c>
      <c r="C37" s="6">
        <f t="shared" ref="C37" si="21">C35+C36</f>
        <v>0</v>
      </c>
      <c r="D37" s="6">
        <f t="shared" ref="D37:K37" si="22">D35+D36</f>
        <v>0</v>
      </c>
      <c r="E37" s="6">
        <f t="shared" si="22"/>
        <v>0</v>
      </c>
      <c r="F37" s="6">
        <f t="shared" si="22"/>
        <v>0</v>
      </c>
      <c r="G37" s="6">
        <f t="shared" si="22"/>
        <v>0</v>
      </c>
      <c r="H37" s="6">
        <f t="shared" si="22"/>
        <v>0</v>
      </c>
      <c r="I37" s="6">
        <f t="shared" si="22"/>
        <v>572.12</v>
      </c>
      <c r="J37" s="6">
        <f t="shared" si="22"/>
        <v>482.63</v>
      </c>
      <c r="K37" s="6">
        <f t="shared" si="22"/>
        <v>547.80999999999995</v>
      </c>
      <c r="L37" s="6">
        <f t="shared" ref="L37" si="23">L35+L36</f>
        <v>625.07000000000005</v>
      </c>
    </row>
    <row r="38" spans="2:12" x14ac:dyDescent="0.2">
      <c r="B38" s="7" t="s">
        <v>23</v>
      </c>
      <c r="C38" s="27"/>
      <c r="D38" s="27"/>
      <c r="E38" s="27"/>
      <c r="F38" s="27"/>
      <c r="G38" s="27"/>
      <c r="H38" s="27"/>
      <c r="I38" s="27">
        <v>22.59</v>
      </c>
      <c r="J38" s="27">
        <v>25.66</v>
      </c>
      <c r="K38" s="27">
        <v>36.36</v>
      </c>
      <c r="L38" s="27">
        <v>41.34</v>
      </c>
    </row>
    <row r="39" spans="2:12" x14ac:dyDescent="0.2">
      <c r="B39" s="4" t="s">
        <v>9</v>
      </c>
      <c r="C39" s="6">
        <f>C37-C38</f>
        <v>0</v>
      </c>
      <c r="D39" s="6">
        <f t="shared" ref="D39:K39" si="24">D37-D38</f>
        <v>0</v>
      </c>
      <c r="E39" s="6">
        <f t="shared" si="24"/>
        <v>0</v>
      </c>
      <c r="F39" s="6">
        <f t="shared" si="24"/>
        <v>0</v>
      </c>
      <c r="G39" s="6">
        <f t="shared" si="24"/>
        <v>0</v>
      </c>
      <c r="H39" s="6">
        <f t="shared" si="24"/>
        <v>0</v>
      </c>
      <c r="I39" s="6">
        <f t="shared" si="24"/>
        <v>549.53</v>
      </c>
      <c r="J39" s="6">
        <f t="shared" si="24"/>
        <v>456.96999999999997</v>
      </c>
      <c r="K39" s="6">
        <f t="shared" si="24"/>
        <v>511.44999999999993</v>
      </c>
      <c r="L39" s="6">
        <f t="shared" ref="L39" si="25">L37-L38</f>
        <v>583.73</v>
      </c>
    </row>
    <row r="40" spans="2:12" x14ac:dyDescent="0.2">
      <c r="B40" s="7" t="s">
        <v>24</v>
      </c>
      <c r="C40" s="8">
        <f t="shared" ref="C40" si="26">+SUM(C41:C43)</f>
        <v>0</v>
      </c>
      <c r="D40" s="8">
        <f t="shared" ref="D40:J40" si="27">+SUM(D41:D43)</f>
        <v>0</v>
      </c>
      <c r="E40" s="8">
        <f t="shared" si="27"/>
        <v>0</v>
      </c>
      <c r="F40" s="8">
        <f t="shared" si="27"/>
        <v>0</v>
      </c>
      <c r="G40" s="8">
        <f t="shared" si="27"/>
        <v>0</v>
      </c>
      <c r="H40" s="8">
        <f t="shared" si="27"/>
        <v>0</v>
      </c>
      <c r="I40" s="8">
        <f t="shared" si="27"/>
        <v>1.9199999999999957</v>
      </c>
      <c r="J40" s="8">
        <f t="shared" si="27"/>
        <v>3.5999999999999952</v>
      </c>
      <c r="K40" s="8">
        <f>+SUM(K41:K43)</f>
        <v>3.17</v>
      </c>
      <c r="L40" s="8">
        <f t="shared" ref="L40" si="28">+SUM(L41:L43)</f>
        <v>3.62</v>
      </c>
    </row>
    <row r="41" spans="2:12" x14ac:dyDescent="0.2">
      <c r="B41" s="12" t="s">
        <v>25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</row>
    <row r="42" spans="2:12" x14ac:dyDescent="0.2">
      <c r="B42" s="12" t="s">
        <v>26</v>
      </c>
      <c r="C42" s="27"/>
      <c r="D42" s="27"/>
      <c r="E42" s="27"/>
      <c r="F42" s="27"/>
      <c r="G42" s="27"/>
      <c r="H42" s="27"/>
      <c r="I42" s="27">
        <f>85.28-I26-I24-I28</f>
        <v>1.4199999999999957</v>
      </c>
      <c r="J42" s="27">
        <f>74.32-J26-J24-J28</f>
        <v>3.0099999999999953</v>
      </c>
      <c r="K42" s="27">
        <v>3.17</v>
      </c>
      <c r="L42" s="27">
        <v>3.62</v>
      </c>
    </row>
    <row r="43" spans="2:12" x14ac:dyDescent="0.2">
      <c r="B43" s="12" t="s">
        <v>27</v>
      </c>
      <c r="C43" s="27"/>
      <c r="D43" s="27"/>
      <c r="E43" s="27"/>
      <c r="F43" s="27"/>
      <c r="G43" s="27"/>
      <c r="H43" s="27"/>
      <c r="I43" s="27">
        <f>0.4+0.1</f>
        <v>0.5</v>
      </c>
      <c r="J43" s="27">
        <f>0.48+0.11</f>
        <v>0.59</v>
      </c>
      <c r="K43" s="27"/>
      <c r="L43" s="27"/>
    </row>
    <row r="44" spans="2:12" x14ac:dyDescent="0.2">
      <c r="B44" s="4" t="s">
        <v>28</v>
      </c>
      <c r="C44" s="6">
        <f t="shared" ref="C44" si="29">C39+C40</f>
        <v>0</v>
      </c>
      <c r="D44" s="6">
        <f t="shared" ref="D44:K44" si="30">D39+D40</f>
        <v>0</v>
      </c>
      <c r="E44" s="6">
        <f t="shared" si="30"/>
        <v>0</v>
      </c>
      <c r="F44" s="6">
        <f t="shared" si="30"/>
        <v>0</v>
      </c>
      <c r="G44" s="6">
        <f t="shared" si="30"/>
        <v>0</v>
      </c>
      <c r="H44" s="6">
        <f t="shared" si="30"/>
        <v>0</v>
      </c>
      <c r="I44" s="6">
        <f t="shared" si="30"/>
        <v>551.44999999999993</v>
      </c>
      <c r="J44" s="6">
        <f t="shared" si="30"/>
        <v>460.57</v>
      </c>
      <c r="K44" s="6">
        <f t="shared" si="30"/>
        <v>514.61999999999989</v>
      </c>
      <c r="L44" s="6">
        <f t="shared" ref="L44" si="31">L39+L40</f>
        <v>587.35</v>
      </c>
    </row>
    <row r="45" spans="2:12" x14ac:dyDescent="0.2">
      <c r="B45" s="4" t="s">
        <v>29</v>
      </c>
      <c r="C45" s="6">
        <f t="shared" ref="C45" si="32">C18-C44</f>
        <v>0</v>
      </c>
      <c r="D45" s="6">
        <f t="shared" ref="D45:K45" si="33">D18-D44</f>
        <v>0</v>
      </c>
      <c r="E45" s="6">
        <f t="shared" si="33"/>
        <v>0</v>
      </c>
      <c r="F45" s="6">
        <f t="shared" si="33"/>
        <v>0</v>
      </c>
      <c r="G45" s="6">
        <f t="shared" si="33"/>
        <v>0</v>
      </c>
      <c r="H45" s="6">
        <f t="shared" si="33"/>
        <v>0</v>
      </c>
      <c r="I45" s="6">
        <f t="shared" si="33"/>
        <v>12.930000000000064</v>
      </c>
      <c r="J45" s="6">
        <f t="shared" si="33"/>
        <v>10.550000000000011</v>
      </c>
      <c r="K45" s="6">
        <f t="shared" si="33"/>
        <v>14.260000000000105</v>
      </c>
      <c r="L45" s="6">
        <f t="shared" ref="L45" si="34">L18-L44</f>
        <v>16.590000000000032</v>
      </c>
    </row>
    <row r="46" spans="2:12" x14ac:dyDescent="0.2">
      <c r="B46" s="7" t="s">
        <v>30</v>
      </c>
      <c r="C46" s="8">
        <f t="shared" ref="C46" si="35">SUM(C47:C49)</f>
        <v>0</v>
      </c>
      <c r="D46" s="8">
        <f t="shared" ref="D46:K46" si="36">SUM(D47:D49)</f>
        <v>0</v>
      </c>
      <c r="E46" s="8">
        <f t="shared" si="36"/>
        <v>0</v>
      </c>
      <c r="F46" s="8">
        <f t="shared" si="36"/>
        <v>0</v>
      </c>
      <c r="G46" s="8">
        <f t="shared" si="36"/>
        <v>0</v>
      </c>
      <c r="H46" s="8">
        <f t="shared" si="36"/>
        <v>0</v>
      </c>
      <c r="I46" s="8">
        <f t="shared" si="36"/>
        <v>2.4500000000000002</v>
      </c>
      <c r="J46" s="8">
        <f t="shared" si="36"/>
        <v>3.69</v>
      </c>
      <c r="K46" s="8">
        <f t="shared" si="36"/>
        <v>4.8</v>
      </c>
      <c r="L46" s="8">
        <f t="shared" ref="L46" si="37">SUM(L47:L49)</f>
        <v>4.71</v>
      </c>
    </row>
    <row r="47" spans="2:12" x14ac:dyDescent="0.2">
      <c r="B47" s="7" t="s">
        <v>244</v>
      </c>
      <c r="C47" s="27"/>
      <c r="D47" s="27"/>
      <c r="E47" s="27"/>
      <c r="F47" s="27"/>
      <c r="G47" s="27"/>
      <c r="H47" s="27"/>
      <c r="I47" s="27">
        <v>0.5</v>
      </c>
      <c r="J47" s="27">
        <v>0.6</v>
      </c>
      <c r="K47" s="27">
        <v>0.21</v>
      </c>
      <c r="L47" s="27">
        <v>0.12</v>
      </c>
    </row>
    <row r="48" spans="2:12" x14ac:dyDescent="0.2">
      <c r="B48" s="7" t="s">
        <v>242</v>
      </c>
      <c r="C48" s="27"/>
      <c r="D48" s="27"/>
      <c r="E48" s="27"/>
      <c r="F48" s="27"/>
      <c r="G48" s="27"/>
      <c r="H48" s="27"/>
      <c r="I48" s="27">
        <v>1.95</v>
      </c>
      <c r="J48" s="27">
        <v>3.09</v>
      </c>
      <c r="K48" s="27">
        <v>4.59</v>
      </c>
      <c r="L48" s="27">
        <v>4.59</v>
      </c>
    </row>
    <row r="49" spans="2:12" x14ac:dyDescent="0.2">
      <c r="B49" s="7" t="s">
        <v>243</v>
      </c>
      <c r="C49" s="27"/>
      <c r="D49" s="27"/>
      <c r="E49" s="27"/>
      <c r="F49" s="27"/>
      <c r="G49" s="27"/>
      <c r="H49" s="27"/>
      <c r="I49" s="27"/>
      <c r="J49" s="27"/>
      <c r="K49" s="27"/>
      <c r="L49" s="27"/>
    </row>
    <row r="50" spans="2:12" x14ac:dyDescent="0.2">
      <c r="B50" s="4" t="s">
        <v>31</v>
      </c>
      <c r="C50" s="6">
        <f t="shared" ref="C50" si="38">C45-C46</f>
        <v>0</v>
      </c>
      <c r="D50" s="6">
        <f t="shared" ref="D50:K50" si="39">D45-D46</f>
        <v>0</v>
      </c>
      <c r="E50" s="6">
        <f t="shared" si="39"/>
        <v>0</v>
      </c>
      <c r="F50" s="6">
        <f t="shared" si="39"/>
        <v>0</v>
      </c>
      <c r="G50" s="6">
        <f t="shared" si="39"/>
        <v>0</v>
      </c>
      <c r="H50" s="6">
        <f t="shared" si="39"/>
        <v>0</v>
      </c>
      <c r="I50" s="6">
        <f t="shared" si="39"/>
        <v>10.480000000000064</v>
      </c>
      <c r="J50" s="6">
        <f t="shared" si="39"/>
        <v>6.8600000000000119</v>
      </c>
      <c r="K50" s="6">
        <f t="shared" si="39"/>
        <v>9.4600000000001039</v>
      </c>
      <c r="L50" s="6">
        <f t="shared" ref="L50" si="40">L45-L46</f>
        <v>11.880000000000031</v>
      </c>
    </row>
    <row r="51" spans="2:12" x14ac:dyDescent="0.2">
      <c r="B51" s="7" t="s">
        <v>32</v>
      </c>
      <c r="C51" s="27"/>
      <c r="D51" s="27"/>
      <c r="E51" s="27"/>
      <c r="F51" s="27"/>
      <c r="G51" s="27"/>
      <c r="H51" s="27"/>
      <c r="I51" s="27">
        <v>0.1</v>
      </c>
      <c r="J51" s="27">
        <v>0.15</v>
      </c>
      <c r="K51" s="27"/>
      <c r="L51" s="27"/>
    </row>
    <row r="52" spans="2:12" x14ac:dyDescent="0.2">
      <c r="B52" s="7" t="s">
        <v>33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</row>
    <row r="53" spans="2:12" x14ac:dyDescent="0.2">
      <c r="B53" s="7" t="s">
        <v>34</v>
      </c>
      <c r="C53" s="8">
        <f>C51-C52</f>
        <v>0</v>
      </c>
      <c r="D53" s="8">
        <f t="shared" ref="D53:J53" si="41">D51-D52</f>
        <v>0</v>
      </c>
      <c r="E53" s="8">
        <f>E51-E52</f>
        <v>0</v>
      </c>
      <c r="F53" s="8">
        <f t="shared" si="41"/>
        <v>0</v>
      </c>
      <c r="G53" s="8">
        <f t="shared" si="41"/>
        <v>0</v>
      </c>
      <c r="H53" s="8">
        <f t="shared" si="41"/>
        <v>0</v>
      </c>
      <c r="I53" s="8">
        <f t="shared" si="41"/>
        <v>0.1</v>
      </c>
      <c r="J53" s="8">
        <f t="shared" si="41"/>
        <v>0.15</v>
      </c>
      <c r="K53" s="8">
        <v>0.2</v>
      </c>
      <c r="L53" s="8">
        <v>0.22</v>
      </c>
    </row>
    <row r="54" spans="2:12" x14ac:dyDescent="0.2">
      <c r="B54" s="4" t="s">
        <v>35</v>
      </c>
      <c r="C54" s="6">
        <f t="shared" ref="C54" si="42">C50+C53</f>
        <v>0</v>
      </c>
      <c r="D54" s="6">
        <f t="shared" ref="D54:K54" si="43">D50+D53</f>
        <v>0</v>
      </c>
      <c r="E54" s="6">
        <f t="shared" si="43"/>
        <v>0</v>
      </c>
      <c r="F54" s="6">
        <f>F50+F53</f>
        <v>0</v>
      </c>
      <c r="G54" s="6">
        <f t="shared" si="43"/>
        <v>0</v>
      </c>
      <c r="H54" s="6">
        <f t="shared" si="43"/>
        <v>0</v>
      </c>
      <c r="I54" s="6">
        <f t="shared" si="43"/>
        <v>10.580000000000064</v>
      </c>
      <c r="J54" s="6">
        <f t="shared" si="43"/>
        <v>7.0100000000000122</v>
      </c>
      <c r="K54" s="6">
        <f t="shared" si="43"/>
        <v>9.6600000000001032</v>
      </c>
      <c r="L54" s="6">
        <f t="shared" ref="L54" si="44">L50+L53</f>
        <v>12.100000000000032</v>
      </c>
    </row>
    <row r="55" spans="2:12" x14ac:dyDescent="0.2">
      <c r="B55" s="7" t="s">
        <v>36</v>
      </c>
      <c r="C55" s="27"/>
      <c r="D55" s="27"/>
      <c r="E55" s="27"/>
      <c r="F55" s="27"/>
      <c r="G55" s="27"/>
      <c r="H55" s="27"/>
      <c r="I55" s="27">
        <f>3.78+1.5+0.05</f>
        <v>5.3299999999999992</v>
      </c>
      <c r="J55" s="27">
        <f>1.72+0.28+0.22</f>
        <v>2.2200000000000002</v>
      </c>
      <c r="K55" s="27">
        <f>2.56+0.26</f>
        <v>2.8200000000000003</v>
      </c>
      <c r="L55" s="27">
        <f>3.55+0.43</f>
        <v>3.98</v>
      </c>
    </row>
    <row r="56" spans="2:12" x14ac:dyDescent="0.2">
      <c r="B56" s="7" t="s">
        <v>37</v>
      </c>
      <c r="C56" s="27"/>
      <c r="D56" s="27"/>
      <c r="E56" s="27"/>
      <c r="F56" s="27"/>
      <c r="G56" s="27"/>
      <c r="H56" s="27"/>
      <c r="I56" s="27"/>
      <c r="J56" s="27"/>
      <c r="K56" s="27"/>
      <c r="L56" s="27"/>
    </row>
    <row r="57" spans="2:12" x14ac:dyDescent="0.2">
      <c r="B57" s="4" t="s">
        <v>38</v>
      </c>
      <c r="C57" s="6">
        <f t="shared" ref="C57" si="45">C54-(C55+C56)</f>
        <v>0</v>
      </c>
      <c r="D57" s="6">
        <f t="shared" ref="D57:K57" si="46">D54-(D55+D56)</f>
        <v>0</v>
      </c>
      <c r="E57" s="6">
        <f t="shared" si="46"/>
        <v>0</v>
      </c>
      <c r="F57" s="6">
        <f>F54-(F55+F56)</f>
        <v>0</v>
      </c>
      <c r="G57" s="6">
        <f t="shared" si="46"/>
        <v>0</v>
      </c>
      <c r="H57" s="6">
        <f t="shared" si="46"/>
        <v>0</v>
      </c>
      <c r="I57" s="6">
        <f t="shared" si="46"/>
        <v>5.2500000000000648</v>
      </c>
      <c r="J57" s="6">
        <f t="shared" si="46"/>
        <v>4.7900000000000116</v>
      </c>
      <c r="K57" s="6">
        <f t="shared" si="46"/>
        <v>6.8400000000001029</v>
      </c>
      <c r="L57" s="6">
        <f t="shared" ref="L57" si="47">L54-(L55+L56)</f>
        <v>8.1200000000000312</v>
      </c>
    </row>
    <row r="58" spans="2:12" x14ac:dyDescent="0.2">
      <c r="B58" s="7" t="s">
        <v>39</v>
      </c>
      <c r="C58" s="8">
        <f>+C57*C59</f>
        <v>0</v>
      </c>
      <c r="D58" s="8">
        <f t="shared" ref="D58:K58" si="48">+D57*D59</f>
        <v>0</v>
      </c>
      <c r="E58" s="8">
        <f t="shared" si="48"/>
        <v>0</v>
      </c>
      <c r="F58" s="8">
        <f t="shared" si="48"/>
        <v>0</v>
      </c>
      <c r="G58" s="8">
        <f t="shared" si="48"/>
        <v>0</v>
      </c>
      <c r="H58" s="8">
        <f t="shared" si="48"/>
        <v>0</v>
      </c>
      <c r="I58" s="8">
        <f t="shared" si="48"/>
        <v>0</v>
      </c>
      <c r="J58" s="8">
        <f t="shared" si="48"/>
        <v>0</v>
      </c>
      <c r="K58" s="8">
        <f t="shared" si="48"/>
        <v>0</v>
      </c>
      <c r="L58" s="8">
        <f t="shared" ref="L58" si="49">+L57*L59</f>
        <v>0</v>
      </c>
    </row>
    <row r="59" spans="2:12" x14ac:dyDescent="0.2">
      <c r="B59" s="4" t="s">
        <v>40</v>
      </c>
      <c r="C59" s="28"/>
      <c r="D59" s="28"/>
      <c r="E59" s="28">
        <v>0</v>
      </c>
      <c r="F59" s="28">
        <v>0</v>
      </c>
      <c r="G59" s="28">
        <v>0</v>
      </c>
      <c r="H59" s="28">
        <v>0</v>
      </c>
      <c r="I59" s="28">
        <v>0</v>
      </c>
      <c r="J59" s="28">
        <v>0</v>
      </c>
      <c r="K59" s="28">
        <v>0</v>
      </c>
      <c r="L59" s="28">
        <v>0</v>
      </c>
    </row>
    <row r="60" spans="2:12" x14ac:dyDescent="0.2">
      <c r="B60" s="7" t="s">
        <v>41</v>
      </c>
      <c r="C60" s="8">
        <f t="shared" ref="C60" si="50">C57-C58</f>
        <v>0</v>
      </c>
      <c r="D60" s="8">
        <f t="shared" ref="D60:K60" si="51">D57-D58</f>
        <v>0</v>
      </c>
      <c r="E60" s="8">
        <f t="shared" si="51"/>
        <v>0</v>
      </c>
      <c r="F60" s="8">
        <f t="shared" si="51"/>
        <v>0</v>
      </c>
      <c r="G60" s="8">
        <f t="shared" si="51"/>
        <v>0</v>
      </c>
      <c r="H60" s="8">
        <f t="shared" si="51"/>
        <v>0</v>
      </c>
      <c r="I60" s="8">
        <f t="shared" si="51"/>
        <v>5.2500000000000648</v>
      </c>
      <c r="J60" s="8">
        <f t="shared" si="51"/>
        <v>4.7900000000000116</v>
      </c>
      <c r="K60" s="8">
        <f t="shared" si="51"/>
        <v>6.8400000000001029</v>
      </c>
      <c r="L60" s="8">
        <f t="shared" ref="L60" si="52">L57-L58</f>
        <v>8.1200000000000312</v>
      </c>
    </row>
    <row r="61" spans="2:12" x14ac:dyDescent="0.2">
      <c r="B61" s="4" t="s">
        <v>42</v>
      </c>
      <c r="C61" s="8" t="e">
        <f t="shared" ref="C61" si="53">C60/C57%</f>
        <v>#DIV/0!</v>
      </c>
      <c r="D61" s="8" t="e">
        <f t="shared" ref="D61:K61" si="54">D60/D57%</f>
        <v>#DIV/0!</v>
      </c>
      <c r="E61" s="8" t="e">
        <f t="shared" si="54"/>
        <v>#DIV/0!</v>
      </c>
      <c r="F61" s="8" t="e">
        <f t="shared" si="54"/>
        <v>#DIV/0!</v>
      </c>
      <c r="G61" s="8" t="e">
        <f t="shared" si="54"/>
        <v>#DIV/0!</v>
      </c>
      <c r="H61" s="8" t="e">
        <f t="shared" si="54"/>
        <v>#DIV/0!</v>
      </c>
      <c r="I61" s="8">
        <f t="shared" si="54"/>
        <v>100</v>
      </c>
      <c r="J61" s="8">
        <f>J60/J57%</f>
        <v>100</v>
      </c>
      <c r="K61" s="8">
        <f t="shared" si="54"/>
        <v>100</v>
      </c>
      <c r="L61" s="8">
        <f>L60/L57%</f>
        <v>100</v>
      </c>
    </row>
    <row r="62" spans="2:12" hidden="1" x14ac:dyDescent="0.2">
      <c r="B62" s="13" t="s">
        <v>43</v>
      </c>
      <c r="C62" s="14">
        <f>C57+C29</f>
        <v>0</v>
      </c>
      <c r="D62" s="14">
        <f>D57+D29</f>
        <v>0</v>
      </c>
      <c r="E62" s="14"/>
      <c r="F62" s="14">
        <f>F57+F29</f>
        <v>0</v>
      </c>
      <c r="G62" s="14">
        <f>G57+G29</f>
        <v>0</v>
      </c>
      <c r="H62" s="14">
        <f t="shared" ref="H62:K62" si="55">H57+H29+H56</f>
        <v>0</v>
      </c>
      <c r="I62" s="149">
        <f t="shared" si="55"/>
        <v>8.4800000000000644</v>
      </c>
      <c r="J62" s="14">
        <f t="shared" si="55"/>
        <v>8.2600000000000122</v>
      </c>
      <c r="K62" s="14">
        <f t="shared" si="55"/>
        <v>10.240000000000103</v>
      </c>
      <c r="L62" s="14">
        <f t="shared" ref="L62" si="56">L57+L29+L56</f>
        <v>11.520000000000032</v>
      </c>
    </row>
    <row r="63" spans="2:12" hidden="1" x14ac:dyDescent="0.2">
      <c r="B63" s="15" t="s">
        <v>44</v>
      </c>
      <c r="C63" s="14" t="e">
        <f t="shared" ref="C63:K63" si="57">C57/C18%</f>
        <v>#DIV/0!</v>
      </c>
      <c r="D63" s="14" t="e">
        <f t="shared" si="57"/>
        <v>#DIV/0!</v>
      </c>
      <c r="E63" s="14"/>
      <c r="F63" s="14" t="e">
        <f t="shared" si="57"/>
        <v>#DIV/0!</v>
      </c>
      <c r="G63" s="14" t="e">
        <f t="shared" si="57"/>
        <v>#DIV/0!</v>
      </c>
      <c r="H63" s="14" t="e">
        <f t="shared" si="57"/>
        <v>#DIV/0!</v>
      </c>
      <c r="I63" s="149">
        <f t="shared" si="57"/>
        <v>0.93022431694958452</v>
      </c>
      <c r="J63" s="14">
        <f t="shared" si="57"/>
        <v>1.0167260995075589</v>
      </c>
      <c r="K63" s="14">
        <f t="shared" si="57"/>
        <v>1.2932990470428269</v>
      </c>
      <c r="L63" s="14">
        <f t="shared" ref="L63" si="58">L57/L18%</f>
        <v>1.3445044209689754</v>
      </c>
    </row>
    <row r="64" spans="2:12" hidden="1" x14ac:dyDescent="0.2">
      <c r="B64" s="15" t="s">
        <v>45</v>
      </c>
      <c r="C64" s="14"/>
      <c r="D64" s="14" t="e">
        <f t="shared" ref="D64:K64" si="59">D46/D57</f>
        <v>#DIV/0!</v>
      </c>
      <c r="E64" s="14"/>
      <c r="F64" s="14" t="e">
        <f t="shared" si="59"/>
        <v>#DIV/0!</v>
      </c>
      <c r="G64" s="14" t="e">
        <f t="shared" si="59"/>
        <v>#DIV/0!</v>
      </c>
      <c r="H64" s="14" t="e">
        <f t="shared" si="59"/>
        <v>#DIV/0!</v>
      </c>
      <c r="I64" s="149">
        <f t="shared" si="59"/>
        <v>0.46666666666666096</v>
      </c>
      <c r="J64" s="14">
        <f t="shared" si="59"/>
        <v>0.77035490605427792</v>
      </c>
      <c r="K64" s="14">
        <f t="shared" si="59"/>
        <v>0.70175438596490169</v>
      </c>
      <c r="L64" s="14">
        <f t="shared" ref="L64" si="60">L46/L57</f>
        <v>0.58004926108374166</v>
      </c>
    </row>
    <row r="65" spans="2:12" hidden="1" x14ac:dyDescent="0.2">
      <c r="B65" s="15" t="s">
        <v>46</v>
      </c>
      <c r="C65" s="14">
        <f t="shared" ref="C65:K65" si="61">(C34+C38)-(C32+C36)</f>
        <v>0</v>
      </c>
      <c r="D65" s="14">
        <f t="shared" si="61"/>
        <v>0</v>
      </c>
      <c r="E65" s="14"/>
      <c r="F65" s="14">
        <f t="shared" si="61"/>
        <v>0</v>
      </c>
      <c r="G65" s="14">
        <f t="shared" si="61"/>
        <v>0</v>
      </c>
      <c r="H65" s="14">
        <f t="shared" si="61"/>
        <v>0</v>
      </c>
      <c r="I65" s="149">
        <f t="shared" si="61"/>
        <v>11.5</v>
      </c>
      <c r="J65" s="14">
        <f t="shared" si="61"/>
        <v>3.0700000000000003</v>
      </c>
      <c r="K65" s="14">
        <f t="shared" si="61"/>
        <v>10.7</v>
      </c>
      <c r="L65" s="14">
        <f t="shared" ref="L65" si="62">(L34+L38)-(L32+L36)</f>
        <v>4.980000000000004</v>
      </c>
    </row>
    <row r="66" spans="2:12" hidden="1" x14ac:dyDescent="0.2">
      <c r="B66" s="15" t="s">
        <v>47</v>
      </c>
      <c r="C66" s="14"/>
      <c r="D66" s="14" t="e">
        <f>(D109+D111+D113+D116+D117+D118)/D18%</f>
        <v>#DIV/0!</v>
      </c>
      <c r="E66" s="14"/>
      <c r="F66" s="14" t="e">
        <f t="shared" ref="F66:K66" si="63">(F109+F111+F113+F116+F117+F118)/F18%</f>
        <v>#DIV/0!</v>
      </c>
      <c r="G66" s="14" t="e">
        <f t="shared" si="63"/>
        <v>#DIV/0!</v>
      </c>
      <c r="H66" s="14" t="e">
        <f t="shared" si="63"/>
        <v>#DIV/0!</v>
      </c>
      <c r="I66" s="149">
        <f t="shared" si="63"/>
        <v>9.7895035259931262</v>
      </c>
      <c r="J66" s="14">
        <f t="shared" si="63"/>
        <v>13.962472406181016</v>
      </c>
      <c r="K66" s="14">
        <f t="shared" si="63"/>
        <v>17.864165784298898</v>
      </c>
      <c r="L66" s="14">
        <f t="shared" ref="L66" si="64">(L109+L111+L113+L116+L117+L118)/L18%</f>
        <v>17.834553101301452</v>
      </c>
    </row>
    <row r="67" spans="2:12" x14ac:dyDescent="0.2">
      <c r="B67" s="15"/>
      <c r="C67" s="14"/>
      <c r="D67" s="14"/>
      <c r="E67" s="14"/>
      <c r="F67" s="14"/>
      <c r="G67" s="14"/>
      <c r="H67" s="14"/>
      <c r="I67" s="149"/>
      <c r="J67" s="14"/>
      <c r="K67" s="14"/>
      <c r="L67" s="14"/>
    </row>
    <row r="68" spans="2:12" x14ac:dyDescent="0.2">
      <c r="B68" s="4" t="s">
        <v>48</v>
      </c>
      <c r="C68" s="8"/>
      <c r="D68" s="8"/>
      <c r="E68" s="8"/>
      <c r="F68" s="8"/>
      <c r="G68" s="8"/>
      <c r="H68" s="8"/>
      <c r="I68" s="7"/>
      <c r="J68" s="7"/>
      <c r="K68" s="7"/>
      <c r="L68" s="7"/>
    </row>
    <row r="69" spans="2:12" x14ac:dyDescent="0.2">
      <c r="B69" s="16" t="s">
        <v>382</v>
      </c>
      <c r="C69" s="27"/>
      <c r="D69" s="27"/>
      <c r="E69" s="27"/>
      <c r="F69" s="27"/>
      <c r="G69" s="27"/>
      <c r="H69" s="27"/>
      <c r="I69" s="27"/>
      <c r="J69" s="27"/>
      <c r="K69" s="27"/>
      <c r="L69" s="27"/>
    </row>
    <row r="70" spans="2:12" x14ac:dyDescent="0.2">
      <c r="B70" s="7" t="s">
        <v>90</v>
      </c>
      <c r="C70" s="27"/>
      <c r="D70" s="27"/>
      <c r="E70" s="27"/>
      <c r="F70" s="27"/>
      <c r="G70" s="27"/>
      <c r="H70" s="27"/>
      <c r="I70" s="27">
        <v>19.149999999999999</v>
      </c>
      <c r="J70" s="27">
        <v>34.51</v>
      </c>
      <c r="K70" s="27">
        <v>70</v>
      </c>
      <c r="L70" s="27">
        <v>70</v>
      </c>
    </row>
    <row r="71" spans="2:12" x14ac:dyDescent="0.2">
      <c r="B71" s="7" t="s">
        <v>415</v>
      </c>
      <c r="C71" s="27"/>
      <c r="D71" s="27"/>
      <c r="E71" s="27"/>
      <c r="F71" s="27"/>
      <c r="G71" s="27"/>
      <c r="H71" s="27"/>
      <c r="I71" s="27"/>
      <c r="J71" s="27"/>
      <c r="K71" s="27"/>
      <c r="L71" s="27"/>
    </row>
    <row r="72" spans="2:12" x14ac:dyDescent="0.2">
      <c r="B72" s="7" t="s">
        <v>91</v>
      </c>
      <c r="C72" s="27"/>
      <c r="D72" s="27"/>
      <c r="E72" s="27"/>
      <c r="F72" s="27"/>
      <c r="G72" s="27"/>
      <c r="H72" s="27"/>
      <c r="I72" s="27"/>
      <c r="J72" s="27"/>
      <c r="K72" s="27"/>
      <c r="L72" s="27"/>
    </row>
    <row r="73" spans="2:12" x14ac:dyDescent="0.2">
      <c r="B73" s="7" t="s">
        <v>92</v>
      </c>
      <c r="C73" s="27"/>
      <c r="D73" s="27"/>
      <c r="E73" s="27"/>
      <c r="F73" s="27"/>
      <c r="G73" s="27"/>
      <c r="H73" s="27"/>
      <c r="I73" s="27"/>
      <c r="J73" s="27"/>
      <c r="K73" s="27"/>
      <c r="L73" s="27"/>
    </row>
    <row r="74" spans="2:12" x14ac:dyDescent="0.2">
      <c r="B74" s="4" t="s">
        <v>49</v>
      </c>
      <c r="C74" s="6">
        <f>C70+C69</f>
        <v>0</v>
      </c>
      <c r="D74" s="6">
        <f t="shared" ref="D74:K74" si="65">D70+D69</f>
        <v>0</v>
      </c>
      <c r="E74" s="6">
        <f>E70+E69</f>
        <v>0</v>
      </c>
      <c r="F74" s="6">
        <f t="shared" si="65"/>
        <v>0</v>
      </c>
      <c r="G74" s="6">
        <f t="shared" si="65"/>
        <v>0</v>
      </c>
      <c r="H74" s="6">
        <f t="shared" si="65"/>
        <v>0</v>
      </c>
      <c r="I74" s="6">
        <f t="shared" si="65"/>
        <v>19.149999999999999</v>
      </c>
      <c r="J74" s="6">
        <f t="shared" si="65"/>
        <v>34.51</v>
      </c>
      <c r="K74" s="6">
        <f t="shared" si="65"/>
        <v>70</v>
      </c>
      <c r="L74" s="6">
        <f t="shared" ref="L74" si="66">L70+L69</f>
        <v>70</v>
      </c>
    </row>
    <row r="75" spans="2:12" x14ac:dyDescent="0.2">
      <c r="B75" s="7" t="s">
        <v>50</v>
      </c>
      <c r="C75" s="27"/>
      <c r="D75" s="27"/>
      <c r="E75" s="27"/>
      <c r="F75" s="27"/>
      <c r="G75" s="27"/>
      <c r="H75" s="27"/>
      <c r="I75" s="27">
        <v>17.22</v>
      </c>
      <c r="J75" s="27">
        <v>10.35</v>
      </c>
      <c r="K75" s="27">
        <f>6+4.47</f>
        <v>10.469999999999999</v>
      </c>
      <c r="L75" s="27">
        <f>4.94+6.82</f>
        <v>11.760000000000002</v>
      </c>
    </row>
    <row r="76" spans="2:12" x14ac:dyDescent="0.2">
      <c r="B76" s="7" t="s">
        <v>51</v>
      </c>
      <c r="C76" s="27"/>
      <c r="D76" s="27"/>
      <c r="E76" s="27"/>
      <c r="F76" s="27"/>
      <c r="G76" s="27"/>
      <c r="H76" s="27"/>
      <c r="I76" s="27"/>
      <c r="J76" s="27"/>
      <c r="K76" s="27"/>
      <c r="L76" s="27"/>
    </row>
    <row r="77" spans="2:12" x14ac:dyDescent="0.2">
      <c r="B77" s="7" t="s">
        <v>110</v>
      </c>
      <c r="C77" s="27"/>
      <c r="D77" s="27"/>
      <c r="E77" s="27"/>
      <c r="F77" s="27"/>
      <c r="G77" s="27"/>
      <c r="H77" s="27"/>
      <c r="I77" s="27"/>
      <c r="J77" s="27"/>
      <c r="K77" s="27"/>
      <c r="L77" s="27"/>
    </row>
    <row r="78" spans="2:12" x14ac:dyDescent="0.2">
      <c r="B78" s="7" t="s">
        <v>52</v>
      </c>
      <c r="C78" s="27"/>
      <c r="D78" s="27"/>
      <c r="E78" s="27"/>
      <c r="F78" s="27"/>
      <c r="G78" s="27"/>
      <c r="H78" s="27"/>
      <c r="I78" s="27"/>
      <c r="J78" s="27"/>
      <c r="K78" s="27"/>
      <c r="L78" s="27"/>
    </row>
    <row r="79" spans="2:12" s="152" customFormat="1" x14ac:dyDescent="0.2">
      <c r="B79" s="151" t="s">
        <v>103</v>
      </c>
      <c r="C79" s="147"/>
      <c r="D79" s="147"/>
      <c r="E79" s="147"/>
      <c r="F79" s="147"/>
      <c r="G79" s="147"/>
      <c r="H79" s="147"/>
      <c r="I79" s="147">
        <v>2.42</v>
      </c>
      <c r="J79" s="147">
        <v>2.39</v>
      </c>
      <c r="K79" s="147">
        <v>1.02</v>
      </c>
      <c r="L79" s="147">
        <v>1.02</v>
      </c>
    </row>
    <row r="80" spans="2:12" x14ac:dyDescent="0.2">
      <c r="B80" s="7" t="s">
        <v>36</v>
      </c>
      <c r="C80" s="27"/>
      <c r="D80" s="27"/>
      <c r="E80" s="27"/>
      <c r="F80" s="27"/>
      <c r="G80" s="27"/>
      <c r="H80" s="27"/>
      <c r="I80" s="27"/>
      <c r="J80" s="27"/>
      <c r="K80" s="27"/>
      <c r="L80" s="27"/>
    </row>
    <row r="81" spans="2:12" x14ac:dyDescent="0.2">
      <c r="B81" s="7" t="s">
        <v>53</v>
      </c>
      <c r="C81" s="27"/>
      <c r="D81" s="27"/>
      <c r="E81" s="27"/>
      <c r="F81" s="27"/>
      <c r="G81" s="27"/>
      <c r="H81" s="27"/>
      <c r="I81" s="27"/>
      <c r="J81" s="27"/>
      <c r="K81" s="27"/>
      <c r="L81" s="27"/>
    </row>
    <row r="82" spans="2:12" x14ac:dyDescent="0.2">
      <c r="B82" s="7" t="s">
        <v>274</v>
      </c>
      <c r="C82" s="27"/>
      <c r="D82" s="27"/>
      <c r="E82" s="27"/>
      <c r="F82" s="27"/>
      <c r="G82" s="27"/>
      <c r="H82" s="27"/>
      <c r="I82" s="27"/>
      <c r="J82" s="27"/>
      <c r="K82" s="27"/>
      <c r="L82" s="27"/>
    </row>
    <row r="83" spans="2:12" x14ac:dyDescent="0.2">
      <c r="B83" s="7" t="s">
        <v>54</v>
      </c>
      <c r="C83" s="27"/>
      <c r="D83" s="27"/>
      <c r="E83" s="27"/>
      <c r="F83" s="27"/>
      <c r="G83" s="27"/>
      <c r="H83" s="27"/>
      <c r="I83" s="27"/>
      <c r="J83" s="27"/>
      <c r="K83" s="27"/>
      <c r="L83" s="27"/>
    </row>
    <row r="84" spans="2:12" x14ac:dyDescent="0.2">
      <c r="B84" s="16" t="s">
        <v>55</v>
      </c>
      <c r="C84" s="27"/>
      <c r="D84" s="27"/>
      <c r="E84" s="27"/>
      <c r="F84" s="27"/>
      <c r="G84" s="27"/>
      <c r="H84" s="27"/>
      <c r="I84" s="27">
        <v>15.31</v>
      </c>
      <c r="J84" s="27">
        <v>12.03</v>
      </c>
      <c r="K84" s="27">
        <v>7.56</v>
      </c>
      <c r="L84" s="27">
        <f>5.25+3.55</f>
        <v>8.8000000000000007</v>
      </c>
    </row>
    <row r="85" spans="2:12" x14ac:dyDescent="0.2">
      <c r="B85" s="4" t="s">
        <v>56</v>
      </c>
      <c r="C85" s="6">
        <f t="shared" ref="C85" si="67">SUM(C75:C84)</f>
        <v>0</v>
      </c>
      <c r="D85" s="6">
        <f t="shared" ref="D85:K85" si="68">SUM(D75:D84)</f>
        <v>0</v>
      </c>
      <c r="E85" s="6">
        <f t="shared" si="68"/>
        <v>0</v>
      </c>
      <c r="F85" s="6">
        <f>SUM(F75:F84)</f>
        <v>0</v>
      </c>
      <c r="G85" s="6">
        <f t="shared" si="68"/>
        <v>0</v>
      </c>
      <c r="H85" s="6">
        <f t="shared" si="68"/>
        <v>0</v>
      </c>
      <c r="I85" s="6">
        <f t="shared" si="68"/>
        <v>34.950000000000003</v>
      </c>
      <c r="J85" s="6">
        <f t="shared" si="68"/>
        <v>24.77</v>
      </c>
      <c r="K85" s="6">
        <f t="shared" si="68"/>
        <v>19.049999999999997</v>
      </c>
      <c r="L85" s="6">
        <f t="shared" ref="L85" si="69">SUM(L75:L84)</f>
        <v>21.580000000000002</v>
      </c>
    </row>
    <row r="86" spans="2:12" x14ac:dyDescent="0.2">
      <c r="B86" s="4" t="s">
        <v>57</v>
      </c>
      <c r="C86" s="6">
        <f t="shared" ref="C86" si="70">C74+C85</f>
        <v>0</v>
      </c>
      <c r="D86" s="6">
        <f t="shared" ref="D86:K86" si="71">D74+D85</f>
        <v>0</v>
      </c>
      <c r="E86" s="6">
        <f t="shared" si="71"/>
        <v>0</v>
      </c>
      <c r="F86" s="6">
        <f t="shared" si="71"/>
        <v>0</v>
      </c>
      <c r="G86" s="6">
        <f t="shared" si="71"/>
        <v>0</v>
      </c>
      <c r="H86" s="6">
        <f t="shared" si="71"/>
        <v>0</v>
      </c>
      <c r="I86" s="6">
        <f t="shared" si="71"/>
        <v>54.1</v>
      </c>
      <c r="J86" s="6">
        <f t="shared" si="71"/>
        <v>59.28</v>
      </c>
      <c r="K86" s="6">
        <f t="shared" si="71"/>
        <v>89.05</v>
      </c>
      <c r="L86" s="6">
        <f t="shared" ref="L86" si="72">L74+L85</f>
        <v>91.58</v>
      </c>
    </row>
    <row r="87" spans="2:12" x14ac:dyDescent="0.2">
      <c r="B87" s="4" t="s">
        <v>58</v>
      </c>
      <c r="C87" s="8"/>
      <c r="D87" s="8"/>
      <c r="E87" s="8"/>
      <c r="F87" s="8"/>
      <c r="G87" s="8"/>
      <c r="H87" s="8"/>
      <c r="I87" s="8"/>
      <c r="J87" s="8"/>
      <c r="K87" s="8"/>
      <c r="L87" s="8"/>
    </row>
    <row r="88" spans="2:12" x14ac:dyDescent="0.2">
      <c r="B88" s="7" t="s">
        <v>414</v>
      </c>
      <c r="C88" s="27"/>
      <c r="D88" s="27"/>
      <c r="E88" s="27"/>
      <c r="F88" s="27"/>
      <c r="G88" s="27"/>
      <c r="H88" s="27"/>
      <c r="I88" s="27"/>
      <c r="J88" s="27"/>
      <c r="K88" s="27"/>
      <c r="L88" s="27"/>
    </row>
    <row r="89" spans="2:12" x14ac:dyDescent="0.2">
      <c r="B89" s="7" t="s">
        <v>59</v>
      </c>
      <c r="C89" s="27"/>
      <c r="D89" s="27"/>
      <c r="E89" s="27"/>
      <c r="F89" s="27"/>
      <c r="G89" s="27"/>
      <c r="H89" s="27"/>
      <c r="I89" s="27">
        <v>3.73</v>
      </c>
      <c r="J89" s="27">
        <v>2.08</v>
      </c>
      <c r="K89" s="27">
        <v>1.1299999999999999</v>
      </c>
      <c r="L89" s="27">
        <v>0.11</v>
      </c>
    </row>
    <row r="90" spans="2:12" x14ac:dyDescent="0.2">
      <c r="B90" s="16" t="s">
        <v>399</v>
      </c>
      <c r="C90" s="27"/>
      <c r="D90" s="27"/>
      <c r="E90" s="27"/>
      <c r="F90" s="27"/>
      <c r="G90" s="27"/>
      <c r="H90" s="27"/>
      <c r="I90" s="27">
        <v>2.78</v>
      </c>
      <c r="J90" s="27">
        <v>3.2</v>
      </c>
      <c r="K90" s="27">
        <v>3.2</v>
      </c>
      <c r="L90" s="27">
        <v>3.2</v>
      </c>
    </row>
    <row r="91" spans="2:12" x14ac:dyDescent="0.2">
      <c r="B91" s="7" t="s">
        <v>413</v>
      </c>
      <c r="C91" s="27"/>
      <c r="D91" s="27"/>
      <c r="E91" s="27"/>
      <c r="F91" s="27"/>
      <c r="G91" s="27"/>
      <c r="H91" s="27"/>
      <c r="I91" s="27"/>
      <c r="J91" s="27"/>
      <c r="K91" s="27"/>
      <c r="L91" s="27"/>
    </row>
    <row r="92" spans="2:12" x14ac:dyDescent="0.2">
      <c r="B92" s="7" t="s">
        <v>398</v>
      </c>
      <c r="C92" s="27"/>
      <c r="D92" s="27"/>
      <c r="E92" s="27"/>
      <c r="F92" s="27"/>
      <c r="G92" s="27"/>
      <c r="H92" s="27"/>
      <c r="I92" s="27">
        <v>5.17</v>
      </c>
      <c r="J92" s="27">
        <v>3.7</v>
      </c>
      <c r="K92" s="27">
        <v>3.7</v>
      </c>
      <c r="L92" s="27">
        <v>3.7</v>
      </c>
    </row>
    <row r="93" spans="2:12" x14ac:dyDescent="0.2">
      <c r="B93" s="7" t="s">
        <v>63</v>
      </c>
      <c r="C93" s="27"/>
      <c r="D93" s="27"/>
      <c r="E93" s="27"/>
      <c r="F93" s="27"/>
      <c r="G93" s="27"/>
      <c r="H93" s="27"/>
      <c r="I93" s="27"/>
      <c r="J93" s="27"/>
      <c r="K93" s="27"/>
      <c r="L93" s="27"/>
    </row>
    <row r="94" spans="2:12" x14ac:dyDescent="0.2">
      <c r="B94" s="4" t="s">
        <v>60</v>
      </c>
      <c r="C94" s="6">
        <f>SUM(C88:C93)</f>
        <v>0</v>
      </c>
      <c r="D94" s="6">
        <f t="shared" ref="D94:K94" si="73">SUM(D88:D93)</f>
        <v>0</v>
      </c>
      <c r="E94" s="6">
        <f t="shared" si="73"/>
        <v>0</v>
      </c>
      <c r="F94" s="6">
        <f t="shared" si="73"/>
        <v>0</v>
      </c>
      <c r="G94" s="6">
        <f t="shared" si="73"/>
        <v>0</v>
      </c>
      <c r="H94" s="6">
        <f t="shared" si="73"/>
        <v>0</v>
      </c>
      <c r="I94" s="6">
        <f t="shared" si="73"/>
        <v>11.68</v>
      </c>
      <c r="J94" s="6">
        <f t="shared" si="73"/>
        <v>8.98</v>
      </c>
      <c r="K94" s="6">
        <f t="shared" si="73"/>
        <v>8.0300000000000011</v>
      </c>
      <c r="L94" s="6">
        <f t="shared" ref="L94" si="74">SUM(L88:L93)</f>
        <v>7.01</v>
      </c>
    </row>
    <row r="95" spans="2:12" x14ac:dyDescent="0.2">
      <c r="B95" s="4" t="s">
        <v>61</v>
      </c>
      <c r="C95" s="6">
        <f t="shared" ref="C95:K95" si="75">C86+C94</f>
        <v>0</v>
      </c>
      <c r="D95" s="6">
        <f t="shared" si="75"/>
        <v>0</v>
      </c>
      <c r="E95" s="6">
        <f>E86+E94</f>
        <v>0</v>
      </c>
      <c r="F95" s="6">
        <f t="shared" si="75"/>
        <v>0</v>
      </c>
      <c r="G95" s="6">
        <f t="shared" si="75"/>
        <v>0</v>
      </c>
      <c r="H95" s="6">
        <f t="shared" si="75"/>
        <v>0</v>
      </c>
      <c r="I95" s="6">
        <f t="shared" si="75"/>
        <v>65.78</v>
      </c>
      <c r="J95" s="6">
        <f t="shared" si="75"/>
        <v>68.260000000000005</v>
      </c>
      <c r="K95" s="6">
        <f t="shared" si="75"/>
        <v>97.08</v>
      </c>
      <c r="L95" s="6">
        <f t="shared" ref="L95" si="76">L86+L94</f>
        <v>98.59</v>
      </c>
    </row>
    <row r="96" spans="2:12" x14ac:dyDescent="0.2">
      <c r="B96" s="7" t="s">
        <v>62</v>
      </c>
      <c r="C96" s="27"/>
      <c r="D96" s="27"/>
      <c r="E96" s="27"/>
      <c r="F96" s="27"/>
      <c r="G96" s="27"/>
      <c r="H96" s="27"/>
      <c r="I96" s="166">
        <v>5.33</v>
      </c>
      <c r="J96" s="27">
        <v>5.33</v>
      </c>
      <c r="K96" s="27">
        <v>5.33</v>
      </c>
      <c r="L96" s="27">
        <v>5.33</v>
      </c>
    </row>
    <row r="97" spans="2:12" x14ac:dyDescent="0.2">
      <c r="B97" s="7" t="s">
        <v>307</v>
      </c>
      <c r="C97" s="27"/>
      <c r="D97" s="27"/>
      <c r="E97" s="27"/>
      <c r="F97" s="27"/>
      <c r="G97" s="27"/>
      <c r="H97" s="27"/>
      <c r="I97" s="166">
        <v>31.83</v>
      </c>
      <c r="J97" s="27">
        <v>36.619999999999997</v>
      </c>
      <c r="K97" s="27">
        <f>8.68+34.78</f>
        <v>43.46</v>
      </c>
      <c r="L97" s="27">
        <f>8.68+42.9</f>
        <v>51.58</v>
      </c>
    </row>
    <row r="98" spans="2:12" x14ac:dyDescent="0.2">
      <c r="B98" s="7" t="s">
        <v>412</v>
      </c>
      <c r="C98" s="27"/>
      <c r="D98" s="27"/>
      <c r="E98" s="27"/>
      <c r="F98" s="27"/>
      <c r="G98" s="27"/>
      <c r="H98" s="27"/>
      <c r="I98" s="166"/>
      <c r="J98" s="27"/>
      <c r="K98" s="27"/>
      <c r="L98" s="27"/>
    </row>
    <row r="99" spans="2:12" x14ac:dyDescent="0.2">
      <c r="B99" s="7" t="s">
        <v>64</v>
      </c>
      <c r="C99" s="27"/>
      <c r="D99" s="27"/>
      <c r="E99" s="27"/>
      <c r="F99" s="27"/>
      <c r="G99" s="27"/>
      <c r="H99" s="27"/>
      <c r="I99" s="166">
        <v>2</v>
      </c>
      <c r="J99" s="27">
        <v>2.2200000000000002</v>
      </c>
      <c r="K99" s="27">
        <v>2.48</v>
      </c>
      <c r="L99" s="27">
        <v>2.91</v>
      </c>
    </row>
    <row r="100" spans="2:12" x14ac:dyDescent="0.2">
      <c r="B100" s="7" t="s">
        <v>411</v>
      </c>
      <c r="C100" s="8">
        <f t="shared" ref="C100:D100" si="77">+C60</f>
        <v>0</v>
      </c>
      <c r="D100" s="8">
        <f t="shared" si="77"/>
        <v>0</v>
      </c>
      <c r="E100" s="27"/>
      <c r="F100" s="27"/>
      <c r="G100" s="27"/>
      <c r="H100" s="27"/>
      <c r="I100" s="166"/>
      <c r="J100" s="27"/>
      <c r="K100" s="27"/>
      <c r="L100" s="27"/>
    </row>
    <row r="101" spans="2:12" x14ac:dyDescent="0.2">
      <c r="B101" s="4" t="s">
        <v>65</v>
      </c>
      <c r="C101" s="6">
        <f t="shared" ref="C101:J101" si="78">SUM(C96:C100)</f>
        <v>0</v>
      </c>
      <c r="D101" s="6">
        <f t="shared" si="78"/>
        <v>0</v>
      </c>
      <c r="E101" s="6">
        <f t="shared" si="78"/>
        <v>0</v>
      </c>
      <c r="F101" s="6">
        <f t="shared" si="78"/>
        <v>0</v>
      </c>
      <c r="G101" s="6">
        <f t="shared" si="78"/>
        <v>0</v>
      </c>
      <c r="H101" s="6">
        <f>SUM(H96:H100)</f>
        <v>0</v>
      </c>
      <c r="I101" s="167">
        <f t="shared" si="78"/>
        <v>39.159999999999997</v>
      </c>
      <c r="J101" s="6">
        <f t="shared" si="78"/>
        <v>44.169999999999995</v>
      </c>
      <c r="K101" s="6">
        <f>SUM(K96:K100)</f>
        <v>51.269999999999996</v>
      </c>
      <c r="L101" s="6">
        <f>SUM(L96:L100)</f>
        <v>59.819999999999993</v>
      </c>
    </row>
    <row r="102" spans="2:12" x14ac:dyDescent="0.2">
      <c r="B102" s="4" t="s">
        <v>66</v>
      </c>
      <c r="C102" s="6">
        <f t="shared" ref="C102:K102" si="79">C95+C101</f>
        <v>0</v>
      </c>
      <c r="D102" s="6">
        <f t="shared" si="79"/>
        <v>0</v>
      </c>
      <c r="E102" s="6">
        <f t="shared" si="79"/>
        <v>0</v>
      </c>
      <c r="F102" s="6">
        <f t="shared" si="79"/>
        <v>0</v>
      </c>
      <c r="G102" s="6">
        <f t="shared" si="79"/>
        <v>0</v>
      </c>
      <c r="H102" s="6">
        <f t="shared" si="79"/>
        <v>0</v>
      </c>
      <c r="I102" s="6">
        <f t="shared" si="79"/>
        <v>104.94</v>
      </c>
      <c r="J102" s="6">
        <f t="shared" si="79"/>
        <v>112.43</v>
      </c>
      <c r="K102" s="6">
        <f t="shared" si="79"/>
        <v>148.35</v>
      </c>
      <c r="L102" s="6">
        <f t="shared" ref="L102" si="80">L95+L101</f>
        <v>158.41</v>
      </c>
    </row>
    <row r="103" spans="2:12" x14ac:dyDescent="0.2">
      <c r="B103" s="17"/>
      <c r="C103" s="18"/>
      <c r="D103" s="168"/>
      <c r="E103" s="169"/>
      <c r="F103" s="169"/>
      <c r="G103" s="169"/>
      <c r="H103" s="19"/>
      <c r="I103" s="170"/>
      <c r="J103" s="170"/>
      <c r="K103" s="170"/>
      <c r="L103" s="170"/>
    </row>
    <row r="104" spans="2:12" x14ac:dyDescent="0.2">
      <c r="B104" s="4" t="s">
        <v>67</v>
      </c>
      <c r="C104" s="7"/>
      <c r="D104" s="7"/>
      <c r="E104" s="7"/>
      <c r="F104" s="7"/>
      <c r="G104" s="7"/>
      <c r="H104" s="7"/>
      <c r="I104" s="7"/>
      <c r="J104" s="7"/>
      <c r="K104" s="7"/>
      <c r="L104" s="7"/>
    </row>
    <row r="105" spans="2:12" x14ac:dyDescent="0.2">
      <c r="B105" s="7" t="s">
        <v>68</v>
      </c>
      <c r="C105" s="27"/>
      <c r="D105" s="27"/>
      <c r="E105" s="27"/>
      <c r="F105" s="27"/>
      <c r="G105" s="27"/>
      <c r="H105" s="27"/>
      <c r="I105" s="27">
        <v>2.81</v>
      </c>
      <c r="J105" s="27">
        <v>5.0199999999999996</v>
      </c>
      <c r="K105" s="27">
        <f>3.5+2.67</f>
        <v>6.17</v>
      </c>
      <c r="L105" s="27">
        <f>9.27+2.89</f>
        <v>12.16</v>
      </c>
    </row>
    <row r="106" spans="2:12" x14ac:dyDescent="0.2">
      <c r="B106" s="7" t="s">
        <v>69</v>
      </c>
      <c r="C106" s="8">
        <f>C107+C108</f>
        <v>0</v>
      </c>
      <c r="D106" s="8">
        <f t="shared" ref="D106:K106" si="81">D107+D108</f>
        <v>0</v>
      </c>
      <c r="E106" s="8">
        <f t="shared" si="81"/>
        <v>0</v>
      </c>
      <c r="F106" s="8">
        <f t="shared" si="81"/>
        <v>0</v>
      </c>
      <c r="G106" s="8">
        <f t="shared" si="81"/>
        <v>0</v>
      </c>
      <c r="H106" s="8">
        <f t="shared" si="81"/>
        <v>0</v>
      </c>
      <c r="I106" s="8">
        <f t="shared" si="81"/>
        <v>0</v>
      </c>
      <c r="J106" s="8">
        <f t="shared" si="81"/>
        <v>0</v>
      </c>
      <c r="K106" s="8">
        <f t="shared" si="81"/>
        <v>0</v>
      </c>
      <c r="L106" s="8">
        <f t="shared" ref="L106" si="82">L107+L108</f>
        <v>0</v>
      </c>
    </row>
    <row r="107" spans="2:12" x14ac:dyDescent="0.2">
      <c r="B107" s="7" t="s">
        <v>70</v>
      </c>
      <c r="C107" s="27"/>
      <c r="D107" s="27"/>
      <c r="E107" s="27"/>
      <c r="F107" s="27"/>
      <c r="G107" s="27"/>
      <c r="H107" s="27"/>
      <c r="I107" s="27"/>
      <c r="J107" s="27"/>
      <c r="K107" s="27"/>
      <c r="L107" s="27"/>
    </row>
    <row r="108" spans="2:12" x14ac:dyDescent="0.2">
      <c r="B108" s="7" t="s">
        <v>270</v>
      </c>
      <c r="C108" s="27"/>
      <c r="D108" s="27"/>
      <c r="E108" s="27"/>
      <c r="F108" s="27"/>
      <c r="G108" s="27"/>
      <c r="H108" s="27"/>
      <c r="I108" s="27"/>
      <c r="J108" s="27"/>
      <c r="K108" s="27"/>
      <c r="L108" s="27"/>
    </row>
    <row r="109" spans="2:12" x14ac:dyDescent="0.2">
      <c r="B109" s="16" t="s">
        <v>88</v>
      </c>
      <c r="C109" s="20">
        <f>+C110+C111</f>
        <v>0</v>
      </c>
      <c r="D109" s="20">
        <f t="shared" ref="D109:K109" si="83">+D110+D111</f>
        <v>0</v>
      </c>
      <c r="E109" s="20">
        <f t="shared" si="83"/>
        <v>0</v>
      </c>
      <c r="F109" s="20">
        <f t="shared" si="83"/>
        <v>0</v>
      </c>
      <c r="G109" s="20">
        <f t="shared" si="83"/>
        <v>0</v>
      </c>
      <c r="H109" s="20">
        <f t="shared" si="83"/>
        <v>0</v>
      </c>
      <c r="I109" s="20">
        <f t="shared" si="83"/>
        <v>18.809999999999999</v>
      </c>
      <c r="J109" s="20">
        <f t="shared" si="83"/>
        <v>30.67</v>
      </c>
      <c r="K109" s="20">
        <f t="shared" si="83"/>
        <v>37.04</v>
      </c>
      <c r="L109" s="20">
        <f t="shared" ref="L109" si="84">+L110+L111</f>
        <v>42.29</v>
      </c>
    </row>
    <row r="110" spans="2:12" x14ac:dyDescent="0.2">
      <c r="B110" s="16" t="s">
        <v>271</v>
      </c>
      <c r="C110" s="29"/>
      <c r="D110" s="29"/>
      <c r="E110" s="29"/>
      <c r="F110" s="29"/>
      <c r="G110" s="29"/>
      <c r="H110" s="29"/>
      <c r="I110" s="29">
        <v>18.809999999999999</v>
      </c>
      <c r="J110" s="29">
        <v>30.67</v>
      </c>
      <c r="K110" s="29">
        <v>37.04</v>
      </c>
      <c r="L110" s="29">
        <v>42.29</v>
      </c>
    </row>
    <row r="111" spans="2:12" x14ac:dyDescent="0.2">
      <c r="B111" s="7" t="s">
        <v>247</v>
      </c>
      <c r="C111" s="27"/>
      <c r="D111" s="27"/>
      <c r="E111" s="27"/>
      <c r="F111" s="27"/>
      <c r="G111" s="27"/>
      <c r="H111" s="27"/>
      <c r="I111" s="27"/>
      <c r="J111" s="27"/>
      <c r="K111" s="27"/>
      <c r="L111" s="27"/>
    </row>
    <row r="112" spans="2:12" x14ac:dyDescent="0.2">
      <c r="B112" s="7" t="s">
        <v>71</v>
      </c>
      <c r="C112" s="8">
        <f>+C113+C116+C117+C118</f>
        <v>0</v>
      </c>
      <c r="D112" s="8">
        <f t="shared" ref="D112:K112" si="85">+D113+D116+D117+D118</f>
        <v>0</v>
      </c>
      <c r="E112" s="8">
        <f>+E113+E116+E117+E118</f>
        <v>0</v>
      </c>
      <c r="F112" s="8">
        <f t="shared" si="85"/>
        <v>0</v>
      </c>
      <c r="G112" s="8">
        <f t="shared" si="85"/>
        <v>0</v>
      </c>
      <c r="H112" s="8">
        <f t="shared" si="85"/>
        <v>0</v>
      </c>
      <c r="I112" s="8">
        <f t="shared" si="85"/>
        <v>36.44</v>
      </c>
      <c r="J112" s="8">
        <f t="shared" si="85"/>
        <v>35.11</v>
      </c>
      <c r="K112" s="8">
        <f t="shared" si="85"/>
        <v>57.44</v>
      </c>
      <c r="L112" s="8">
        <f t="shared" ref="L112" si="86">+L113+L116+L117+L118</f>
        <v>65.42</v>
      </c>
    </row>
    <row r="113" spans="2:12" x14ac:dyDescent="0.2">
      <c r="B113" s="16" t="s">
        <v>95</v>
      </c>
      <c r="C113" s="8">
        <f>+C114+C115</f>
        <v>0</v>
      </c>
      <c r="D113" s="8">
        <f t="shared" ref="D113:K113" si="87">+D114+D115</f>
        <v>0</v>
      </c>
      <c r="E113" s="8">
        <f t="shared" si="87"/>
        <v>0</v>
      </c>
      <c r="F113" s="8">
        <f t="shared" si="87"/>
        <v>0</v>
      </c>
      <c r="G113" s="8">
        <f t="shared" si="87"/>
        <v>0</v>
      </c>
      <c r="H113" s="8">
        <f t="shared" si="87"/>
        <v>0</v>
      </c>
      <c r="I113" s="8">
        <f t="shared" si="87"/>
        <v>13.38</v>
      </c>
      <c r="J113" s="8">
        <f t="shared" si="87"/>
        <v>8.9700000000000006</v>
      </c>
      <c r="K113" s="8">
        <f t="shared" si="87"/>
        <v>20.100000000000001</v>
      </c>
      <c r="L113" s="8">
        <f t="shared" ref="L113" si="88">+L114+L115</f>
        <v>22.97</v>
      </c>
    </row>
    <row r="114" spans="2:12" x14ac:dyDescent="0.2">
      <c r="B114" s="16" t="s">
        <v>94</v>
      </c>
      <c r="C114" s="27"/>
      <c r="D114" s="27"/>
      <c r="E114" s="27"/>
      <c r="F114" s="27"/>
      <c r="G114" s="27"/>
      <c r="H114" s="27"/>
      <c r="I114" s="27"/>
      <c r="J114" s="27"/>
      <c r="K114" s="27"/>
      <c r="L114" s="27"/>
    </row>
    <row r="115" spans="2:12" x14ac:dyDescent="0.2">
      <c r="B115" s="16" t="s">
        <v>93</v>
      </c>
      <c r="C115" s="27"/>
      <c r="D115" s="27"/>
      <c r="E115" s="27"/>
      <c r="F115" s="27"/>
      <c r="G115" s="27"/>
      <c r="H115" s="27"/>
      <c r="I115" s="27">
        <v>13.38</v>
      </c>
      <c r="J115" s="27">
        <v>8.9700000000000006</v>
      </c>
      <c r="K115" s="27">
        <v>20.100000000000001</v>
      </c>
      <c r="L115" s="27">
        <v>22.97</v>
      </c>
    </row>
    <row r="116" spans="2:12" x14ac:dyDescent="0.2">
      <c r="B116" s="16" t="s">
        <v>96</v>
      </c>
      <c r="C116" s="27"/>
      <c r="D116" s="27"/>
      <c r="E116" s="27"/>
      <c r="F116" s="27"/>
      <c r="G116" s="27"/>
      <c r="H116" s="27"/>
      <c r="I116" s="27"/>
      <c r="J116" s="27"/>
      <c r="K116" s="27"/>
      <c r="L116" s="27"/>
    </row>
    <row r="117" spans="2:12" x14ac:dyDescent="0.2">
      <c r="B117" s="7" t="s">
        <v>97</v>
      </c>
      <c r="C117" s="27"/>
      <c r="D117" s="27"/>
      <c r="E117" s="27"/>
      <c r="F117" s="27"/>
      <c r="G117" s="27"/>
      <c r="H117" s="27"/>
      <c r="I117" s="27">
        <v>22.59</v>
      </c>
      <c r="J117" s="27">
        <v>25.66</v>
      </c>
      <c r="K117" s="27">
        <v>36.36</v>
      </c>
      <c r="L117" s="27">
        <v>41.34</v>
      </c>
    </row>
    <row r="118" spans="2:12" x14ac:dyDescent="0.2">
      <c r="B118" s="16" t="s">
        <v>98</v>
      </c>
      <c r="C118" s="27"/>
      <c r="D118" s="27"/>
      <c r="E118" s="27"/>
      <c r="F118" s="27"/>
      <c r="G118" s="27"/>
      <c r="H118" s="27"/>
      <c r="I118" s="27">
        <v>0.47</v>
      </c>
      <c r="J118" s="27">
        <v>0.48</v>
      </c>
      <c r="K118" s="27">
        <v>0.98</v>
      </c>
      <c r="L118" s="27">
        <v>1.1100000000000001</v>
      </c>
    </row>
    <row r="119" spans="2:12" x14ac:dyDescent="0.2">
      <c r="B119" s="7" t="s">
        <v>402</v>
      </c>
      <c r="C119" s="27"/>
      <c r="D119" s="27"/>
      <c r="E119" s="27"/>
      <c r="F119" s="27"/>
      <c r="G119" s="27"/>
      <c r="H119" s="27"/>
      <c r="I119" s="27">
        <v>7.57</v>
      </c>
      <c r="J119" s="27">
        <v>6.18</v>
      </c>
      <c r="K119" s="27"/>
      <c r="L119" s="27"/>
    </row>
    <row r="120" spans="2:12" x14ac:dyDescent="0.2">
      <c r="B120" s="16" t="s">
        <v>72</v>
      </c>
      <c r="C120" s="27"/>
      <c r="D120" s="27"/>
      <c r="E120" s="27"/>
      <c r="F120" s="27"/>
      <c r="G120" s="27"/>
      <c r="H120" s="27"/>
      <c r="I120" s="27">
        <f>1.13-0.2</f>
        <v>0.92999999999999994</v>
      </c>
      <c r="J120" s="27">
        <f>2.32-1.7</f>
        <v>0.61999999999999988</v>
      </c>
      <c r="K120" s="27">
        <v>16.28</v>
      </c>
      <c r="L120" s="27">
        <v>10.52</v>
      </c>
    </row>
    <row r="121" spans="2:12" x14ac:dyDescent="0.2">
      <c r="B121" s="7" t="s">
        <v>73</v>
      </c>
      <c r="C121" s="27"/>
      <c r="D121" s="27"/>
      <c r="E121" s="27"/>
      <c r="F121" s="27"/>
      <c r="G121" s="27"/>
      <c r="H121" s="27"/>
      <c r="I121" s="27"/>
      <c r="J121" s="27"/>
      <c r="K121" s="27"/>
      <c r="L121" s="27"/>
    </row>
    <row r="122" spans="2:12" x14ac:dyDescent="0.2">
      <c r="B122" s="4" t="s">
        <v>74</v>
      </c>
      <c r="C122" s="6">
        <f>C105+C106+C109+C112+C119+C120+C121</f>
        <v>0</v>
      </c>
      <c r="D122" s="6">
        <f t="shared" ref="D122:K122" si="89">D105+D106+D109+D112+D119+D120+D121</f>
        <v>0</v>
      </c>
      <c r="E122" s="6">
        <f t="shared" si="89"/>
        <v>0</v>
      </c>
      <c r="F122" s="6">
        <f t="shared" si="89"/>
        <v>0</v>
      </c>
      <c r="G122" s="6">
        <f t="shared" si="89"/>
        <v>0</v>
      </c>
      <c r="H122" s="6">
        <f t="shared" si="89"/>
        <v>0</v>
      </c>
      <c r="I122" s="6">
        <f t="shared" si="89"/>
        <v>66.56</v>
      </c>
      <c r="J122" s="6">
        <f t="shared" si="89"/>
        <v>77.599999999999994</v>
      </c>
      <c r="K122" s="6">
        <f t="shared" si="89"/>
        <v>116.93</v>
      </c>
      <c r="L122" s="6">
        <f t="shared" ref="L122" si="90">L105+L106+L109+L112+L119+L120+L121</f>
        <v>130.39000000000001</v>
      </c>
    </row>
    <row r="123" spans="2:12" x14ac:dyDescent="0.2">
      <c r="B123" s="4" t="s">
        <v>75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</row>
    <row r="124" spans="2:12" x14ac:dyDescent="0.2">
      <c r="B124" s="7" t="s">
        <v>76</v>
      </c>
      <c r="C124" s="27"/>
      <c r="D124" s="27"/>
      <c r="E124" s="27"/>
      <c r="F124" s="27"/>
      <c r="G124" s="27"/>
      <c r="H124" s="27"/>
      <c r="I124" s="27">
        <v>34.29</v>
      </c>
      <c r="J124" s="27">
        <v>57.52</v>
      </c>
      <c r="K124" s="27">
        <v>31.39</v>
      </c>
      <c r="L124" s="27">
        <v>27.99</v>
      </c>
    </row>
    <row r="125" spans="2:12" x14ac:dyDescent="0.2">
      <c r="B125" s="7" t="s">
        <v>77</v>
      </c>
      <c r="C125" s="27"/>
      <c r="D125" s="27"/>
      <c r="E125" s="27"/>
      <c r="F125" s="27"/>
      <c r="G125" s="27"/>
      <c r="H125" s="27"/>
      <c r="I125" s="27"/>
      <c r="J125" s="27">
        <v>22.73</v>
      </c>
      <c r="K125" s="27"/>
      <c r="L125" s="27"/>
    </row>
    <row r="126" spans="2:12" x14ac:dyDescent="0.2">
      <c r="B126" s="4" t="s">
        <v>78</v>
      </c>
      <c r="C126" s="6">
        <f t="shared" ref="C126" si="91">C124-C125</f>
        <v>0</v>
      </c>
      <c r="D126" s="6">
        <f t="shared" ref="D126:K126" si="92">D124-D125</f>
        <v>0</v>
      </c>
      <c r="E126" s="6">
        <f t="shared" si="92"/>
        <v>0</v>
      </c>
      <c r="F126" s="6">
        <f t="shared" si="92"/>
        <v>0</v>
      </c>
      <c r="G126" s="6">
        <f t="shared" si="92"/>
        <v>0</v>
      </c>
      <c r="H126" s="6">
        <f t="shared" si="92"/>
        <v>0</v>
      </c>
      <c r="I126" s="6">
        <f t="shared" si="92"/>
        <v>34.29</v>
      </c>
      <c r="J126" s="6">
        <f t="shared" si="92"/>
        <v>34.790000000000006</v>
      </c>
      <c r="K126" s="6">
        <f t="shared" si="92"/>
        <v>31.39</v>
      </c>
      <c r="L126" s="6">
        <f t="shared" ref="L126" si="93">L124-L125</f>
        <v>27.99</v>
      </c>
    </row>
    <row r="127" spans="2:12" x14ac:dyDescent="0.2">
      <c r="B127" s="4" t="s">
        <v>79</v>
      </c>
      <c r="C127" s="8"/>
      <c r="D127" s="8"/>
      <c r="E127" s="8"/>
      <c r="F127" s="8"/>
      <c r="G127" s="8"/>
      <c r="H127" s="8"/>
      <c r="I127" s="8"/>
      <c r="J127" s="8"/>
      <c r="K127" s="8"/>
      <c r="L127" s="8"/>
    </row>
    <row r="128" spans="2:12" x14ac:dyDescent="0.2">
      <c r="B128" s="7" t="s">
        <v>80</v>
      </c>
      <c r="C128" s="27"/>
      <c r="D128" s="27"/>
      <c r="E128" s="27"/>
      <c r="F128" s="27"/>
      <c r="G128" s="27"/>
      <c r="H128" s="27"/>
      <c r="I128" s="27">
        <v>0.03</v>
      </c>
      <c r="J128" s="27">
        <v>0.03</v>
      </c>
      <c r="K128" s="27">
        <v>0.03</v>
      </c>
      <c r="L128" s="27">
        <v>0.03</v>
      </c>
    </row>
    <row r="129" spans="2:12" x14ac:dyDescent="0.2">
      <c r="B129" s="7" t="s">
        <v>246</v>
      </c>
      <c r="C129" s="27"/>
      <c r="D129" s="27"/>
      <c r="E129" s="27"/>
      <c r="F129" s="27"/>
      <c r="G129" s="27"/>
      <c r="H129" s="27"/>
      <c r="I129" s="27"/>
      <c r="J129" s="27"/>
      <c r="K129" s="27"/>
      <c r="L129" s="27"/>
    </row>
    <row r="130" spans="2:12" x14ac:dyDescent="0.2">
      <c r="B130" s="7" t="s">
        <v>408</v>
      </c>
      <c r="C130" s="27"/>
      <c r="D130" s="27"/>
      <c r="E130" s="27"/>
      <c r="F130" s="27"/>
      <c r="G130" s="27"/>
      <c r="H130" s="27"/>
      <c r="I130" s="27"/>
      <c r="J130" s="27"/>
      <c r="K130" s="27"/>
      <c r="L130" s="27"/>
    </row>
    <row r="131" spans="2:12" x14ac:dyDescent="0.2">
      <c r="B131" s="7" t="s">
        <v>401</v>
      </c>
      <c r="C131" s="27"/>
      <c r="D131" s="27"/>
      <c r="E131" s="27"/>
      <c r="F131" s="27"/>
      <c r="G131" s="27"/>
      <c r="H131" s="27"/>
      <c r="I131" s="27"/>
      <c r="J131" s="27"/>
      <c r="K131" s="27"/>
      <c r="L131" s="27"/>
    </row>
    <row r="132" spans="2:12" x14ac:dyDescent="0.2">
      <c r="B132" s="7" t="s">
        <v>392</v>
      </c>
      <c r="C132" s="27"/>
      <c r="D132" s="27"/>
      <c r="E132" s="27"/>
      <c r="F132" s="27"/>
      <c r="G132" s="27"/>
      <c r="H132" s="27"/>
      <c r="I132" s="27"/>
      <c r="J132" s="27"/>
      <c r="K132" s="27"/>
      <c r="L132" s="27"/>
    </row>
    <row r="133" spans="2:12" x14ac:dyDescent="0.2">
      <c r="B133" s="7" t="s">
        <v>400</v>
      </c>
      <c r="C133" s="27"/>
      <c r="D133" s="27"/>
      <c r="E133" s="27"/>
      <c r="F133" s="27"/>
      <c r="G133" s="27"/>
      <c r="H133" s="27"/>
      <c r="I133" s="27">
        <v>3.84</v>
      </c>
      <c r="J133" s="27"/>
      <c r="K133" s="27"/>
      <c r="L133" s="27"/>
    </row>
    <row r="134" spans="2:12" ht="25.5" x14ac:dyDescent="0.2">
      <c r="B134" s="9" t="s">
        <v>395</v>
      </c>
      <c r="C134" s="27"/>
      <c r="D134" s="27"/>
      <c r="E134" s="27"/>
      <c r="F134" s="27"/>
      <c r="G134" s="27"/>
      <c r="H134" s="27"/>
      <c r="I134" s="27">
        <v>0.22</v>
      </c>
      <c r="J134" s="27">
        <v>0.01</v>
      </c>
      <c r="K134" s="27"/>
      <c r="L134" s="27"/>
    </row>
    <row r="135" spans="2:12" x14ac:dyDescent="0.2">
      <c r="B135" s="4" t="s">
        <v>81</v>
      </c>
      <c r="C135" s="6">
        <f t="shared" ref="C135" si="94">SUM(C128:C134)</f>
        <v>0</v>
      </c>
      <c r="D135" s="6">
        <f t="shared" ref="D135:K135" si="95">SUM(D128:D134)</f>
        <v>0</v>
      </c>
      <c r="E135" s="6">
        <f>SUM(E128:E134)</f>
        <v>0</v>
      </c>
      <c r="F135" s="6">
        <f>SUM(F128:F134)</f>
        <v>0</v>
      </c>
      <c r="G135" s="6">
        <f>SUM(G128:G134)</f>
        <v>0</v>
      </c>
      <c r="H135" s="6">
        <f t="shared" si="95"/>
        <v>0</v>
      </c>
      <c r="I135" s="6">
        <f t="shared" si="95"/>
        <v>4.09</v>
      </c>
      <c r="J135" s="6">
        <f t="shared" si="95"/>
        <v>0.04</v>
      </c>
      <c r="K135" s="6">
        <f t="shared" si="95"/>
        <v>0.03</v>
      </c>
      <c r="L135" s="6">
        <f t="shared" ref="L135" si="96">SUM(L128:L134)</f>
        <v>0.03</v>
      </c>
    </row>
    <row r="136" spans="2:12" x14ac:dyDescent="0.2">
      <c r="B136" s="16" t="s">
        <v>407</v>
      </c>
      <c r="C136" s="29"/>
      <c r="D136" s="29"/>
      <c r="E136" s="29"/>
      <c r="F136" s="29"/>
      <c r="G136" s="29"/>
      <c r="H136" s="29"/>
      <c r="I136" s="29"/>
      <c r="J136" s="29"/>
      <c r="K136" s="29"/>
      <c r="L136" s="29"/>
    </row>
    <row r="137" spans="2:12" x14ac:dyDescent="0.2">
      <c r="B137" s="4" t="s">
        <v>82</v>
      </c>
      <c r="C137" s="6">
        <f t="shared" ref="C137" si="97">C122+C126+C135+C136</f>
        <v>0</v>
      </c>
      <c r="D137" s="6">
        <f t="shared" ref="D137:K137" si="98">D122+D126+D135+D136</f>
        <v>0</v>
      </c>
      <c r="E137" s="6">
        <f>E122+E126+E135+E136</f>
        <v>0</v>
      </c>
      <c r="F137" s="6">
        <f t="shared" si="98"/>
        <v>0</v>
      </c>
      <c r="G137" s="6">
        <f t="shared" si="98"/>
        <v>0</v>
      </c>
      <c r="H137" s="6">
        <f t="shared" si="98"/>
        <v>0</v>
      </c>
      <c r="I137" s="6">
        <f t="shared" si="98"/>
        <v>104.94</v>
      </c>
      <c r="J137" s="6">
        <f t="shared" si="98"/>
        <v>112.43</v>
      </c>
      <c r="K137" s="6">
        <f t="shared" si="98"/>
        <v>148.35</v>
      </c>
      <c r="L137" s="6">
        <f t="shared" ref="L137" si="99">L122+L126+L135+L136</f>
        <v>158.41000000000003</v>
      </c>
    </row>
    <row r="138" spans="2:12" x14ac:dyDescent="0.2">
      <c r="B138" s="4" t="s">
        <v>84</v>
      </c>
      <c r="C138" s="6">
        <f t="shared" ref="C138:K138" si="100">C101-C136</f>
        <v>0</v>
      </c>
      <c r="D138" s="6">
        <f t="shared" si="100"/>
        <v>0</v>
      </c>
      <c r="E138" s="6">
        <f t="shared" si="100"/>
        <v>0</v>
      </c>
      <c r="F138" s="6">
        <f t="shared" si="100"/>
        <v>0</v>
      </c>
      <c r="G138" s="6">
        <f t="shared" si="100"/>
        <v>0</v>
      </c>
      <c r="H138" s="6">
        <f t="shared" si="100"/>
        <v>0</v>
      </c>
      <c r="I138" s="6">
        <f>I101-I136</f>
        <v>39.159999999999997</v>
      </c>
      <c r="J138" s="6">
        <f t="shared" si="100"/>
        <v>44.169999999999995</v>
      </c>
      <c r="K138" s="6">
        <f t="shared" si="100"/>
        <v>51.269999999999996</v>
      </c>
      <c r="L138" s="6">
        <f t="shared" ref="L138" si="101">L101-L136</f>
        <v>59.819999999999993</v>
      </c>
    </row>
    <row r="139" spans="2:12" x14ac:dyDescent="0.2">
      <c r="B139" s="21" t="s">
        <v>85</v>
      </c>
      <c r="C139" s="22">
        <f t="shared" ref="C139:K139" si="102">(C94+C101)-(C126+C135+C136)</f>
        <v>0</v>
      </c>
      <c r="D139" s="22">
        <f t="shared" si="102"/>
        <v>0</v>
      </c>
      <c r="E139" s="22">
        <f t="shared" si="102"/>
        <v>0</v>
      </c>
      <c r="F139" s="22">
        <f t="shared" si="102"/>
        <v>0</v>
      </c>
      <c r="G139" s="22">
        <f t="shared" si="102"/>
        <v>0</v>
      </c>
      <c r="H139" s="22">
        <f t="shared" si="102"/>
        <v>0</v>
      </c>
      <c r="I139" s="22">
        <f t="shared" si="102"/>
        <v>12.46</v>
      </c>
      <c r="J139" s="22">
        <f t="shared" si="102"/>
        <v>18.319999999999986</v>
      </c>
      <c r="K139" s="22">
        <f t="shared" si="102"/>
        <v>27.879999999999995</v>
      </c>
      <c r="L139" s="22">
        <f t="shared" ref="L139" si="103">(L94+L101)-(L126+L135+L136)</f>
        <v>38.81</v>
      </c>
    </row>
    <row r="140" spans="2:12" x14ac:dyDescent="0.2">
      <c r="B140" s="4" t="s">
        <v>86</v>
      </c>
      <c r="C140" s="8" t="e">
        <f t="shared" ref="C140:K140" si="104">C122/C86</f>
        <v>#DIV/0!</v>
      </c>
      <c r="D140" s="8" t="e">
        <f t="shared" si="104"/>
        <v>#DIV/0!</v>
      </c>
      <c r="E140" s="8" t="e">
        <f t="shared" si="104"/>
        <v>#DIV/0!</v>
      </c>
      <c r="F140" s="8" t="e">
        <f t="shared" si="104"/>
        <v>#DIV/0!</v>
      </c>
      <c r="G140" s="8" t="e">
        <f t="shared" si="104"/>
        <v>#DIV/0!</v>
      </c>
      <c r="H140" s="8" t="e">
        <f t="shared" si="104"/>
        <v>#DIV/0!</v>
      </c>
      <c r="I140" s="8">
        <f t="shared" si="104"/>
        <v>1.2303142329020333</v>
      </c>
      <c r="J140" s="8">
        <f t="shared" si="104"/>
        <v>1.3090418353576248</v>
      </c>
      <c r="K140" s="8">
        <f t="shared" si="104"/>
        <v>1.3130825379000564</v>
      </c>
      <c r="L140" s="8">
        <f t="shared" ref="L140" si="105">L122/L86</f>
        <v>1.4237824852587904</v>
      </c>
    </row>
    <row r="141" spans="2:12" x14ac:dyDescent="0.2">
      <c r="B141" s="21" t="s">
        <v>87</v>
      </c>
      <c r="C141" s="20" t="e">
        <f t="shared" ref="C141:K141" si="106">(C94+C70)/C138</f>
        <v>#DIV/0!</v>
      </c>
      <c r="D141" s="20" t="e">
        <f t="shared" si="106"/>
        <v>#DIV/0!</v>
      </c>
      <c r="E141" s="20" t="e">
        <f t="shared" si="106"/>
        <v>#DIV/0!</v>
      </c>
      <c r="F141" s="20" t="e">
        <f t="shared" si="106"/>
        <v>#DIV/0!</v>
      </c>
      <c r="G141" s="20" t="e">
        <f t="shared" si="106"/>
        <v>#DIV/0!</v>
      </c>
      <c r="H141" s="20" t="e">
        <f>(H94+H70)/H138</f>
        <v>#DIV/0!</v>
      </c>
      <c r="I141" s="20">
        <f t="shared" si="106"/>
        <v>0.78728294177732383</v>
      </c>
      <c r="J141" s="20">
        <f t="shared" si="106"/>
        <v>0.9846049354765678</v>
      </c>
      <c r="K141" s="20">
        <f t="shared" si="106"/>
        <v>1.5219426565242833</v>
      </c>
      <c r="L141" s="20">
        <f t="shared" ref="L141" si="107">(L94+L70)/L138</f>
        <v>1.2873620862587765</v>
      </c>
    </row>
    <row r="142" spans="2:12" x14ac:dyDescent="0.2">
      <c r="B142" s="16" t="s">
        <v>277</v>
      </c>
      <c r="C142" s="29"/>
      <c r="D142" s="29"/>
      <c r="E142" s="29"/>
      <c r="F142" s="29"/>
      <c r="G142" s="29"/>
      <c r="H142" s="29"/>
      <c r="I142" s="29"/>
      <c r="J142" s="29"/>
      <c r="K142" s="29"/>
      <c r="L142" s="29"/>
    </row>
    <row r="143" spans="2:12" x14ac:dyDescent="0.2">
      <c r="B143" s="16" t="s">
        <v>278</v>
      </c>
      <c r="C143" s="29"/>
      <c r="D143" s="29"/>
      <c r="E143" s="29"/>
      <c r="F143" s="29"/>
      <c r="G143" s="29"/>
      <c r="H143" s="29"/>
      <c r="I143" s="29"/>
      <c r="J143" s="29"/>
      <c r="K143" s="29"/>
      <c r="L143" s="29"/>
    </row>
    <row r="144" spans="2:12" x14ac:dyDescent="0.2">
      <c r="B144" s="16" t="s">
        <v>340</v>
      </c>
      <c r="C144" s="29"/>
      <c r="D144" s="29"/>
      <c r="E144" s="29"/>
      <c r="F144" s="29"/>
      <c r="G144" s="29"/>
      <c r="H144" s="29"/>
      <c r="I144" s="29"/>
      <c r="J144" s="29"/>
      <c r="K144" s="29"/>
      <c r="L144" s="29"/>
    </row>
    <row r="145" spans="2:12" x14ac:dyDescent="0.2">
      <c r="B145" s="23"/>
      <c r="C145" s="24"/>
      <c r="D145" s="24"/>
      <c r="E145" s="24"/>
      <c r="F145" s="24"/>
      <c r="G145" s="24"/>
      <c r="H145" s="24"/>
      <c r="I145" s="24"/>
      <c r="J145" s="24"/>
      <c r="K145" s="24"/>
      <c r="L145" s="24"/>
    </row>
    <row r="146" spans="2:12" x14ac:dyDescent="0.2">
      <c r="B146" s="7" t="s">
        <v>83</v>
      </c>
      <c r="C146" s="8">
        <f t="shared" ref="C146:K146" si="108">C102-C137</f>
        <v>0</v>
      </c>
      <c r="D146" s="8">
        <f t="shared" si="108"/>
        <v>0</v>
      </c>
      <c r="E146" s="8">
        <f>E102-E137</f>
        <v>0</v>
      </c>
      <c r="F146" s="8">
        <f t="shared" si="108"/>
        <v>0</v>
      </c>
      <c r="G146" s="8">
        <f t="shared" si="108"/>
        <v>0</v>
      </c>
      <c r="H146" s="8">
        <f>H102-H137</f>
        <v>0</v>
      </c>
      <c r="I146" s="8">
        <f>I102-I137</f>
        <v>0</v>
      </c>
      <c r="J146" s="8">
        <f t="shared" si="108"/>
        <v>0</v>
      </c>
      <c r="K146" s="8">
        <f t="shared" si="108"/>
        <v>0</v>
      </c>
      <c r="L146" s="8">
        <f t="shared" ref="L146" si="109">L102-L137</f>
        <v>0</v>
      </c>
    </row>
    <row r="148" spans="2:12" x14ac:dyDescent="0.2">
      <c r="E148" s="122"/>
      <c r="F148" s="122"/>
      <c r="G148" s="122"/>
      <c r="H148" s="122"/>
      <c r="I148" s="150"/>
    </row>
    <row r="149" spans="2:12" x14ac:dyDescent="0.2">
      <c r="E149" s="122"/>
      <c r="F149" s="122"/>
      <c r="G149" s="122"/>
      <c r="H149" s="122"/>
      <c r="I149" s="150"/>
    </row>
    <row r="150" spans="2:12" x14ac:dyDescent="0.2">
      <c r="E150" s="122"/>
      <c r="F150" s="122"/>
      <c r="G150" s="122"/>
      <c r="H150" s="122"/>
      <c r="I150" s="150"/>
    </row>
    <row r="151" spans="2:12" x14ac:dyDescent="0.2">
      <c r="B151" s="3" t="s">
        <v>384</v>
      </c>
      <c r="E151" s="122" t="e">
        <f t="shared" ref="E151:H151" si="110">(E45+E29)/(E48+E47)</f>
        <v>#DIV/0!</v>
      </c>
      <c r="F151" s="122" t="e">
        <f t="shared" si="110"/>
        <v>#DIV/0!</v>
      </c>
      <c r="G151" s="122" t="e">
        <f t="shared" si="110"/>
        <v>#DIV/0!</v>
      </c>
      <c r="H151" s="122" t="e">
        <f t="shared" si="110"/>
        <v>#DIV/0!</v>
      </c>
      <c r="I151" s="150">
        <f>(I45+I29)/(I48+I47)</f>
        <v>6.5959183673469646</v>
      </c>
      <c r="J151" s="122">
        <f t="shared" ref="J151:K151" si="111">(J45+J29)/(J48+J47)</f>
        <v>3.7994579945799489</v>
      </c>
      <c r="K151" s="122">
        <f t="shared" si="111"/>
        <v>3.6791666666666885</v>
      </c>
      <c r="L151" s="122">
        <f t="shared" ref="L151" si="112">(L45+L29)/(L48+L47)</f>
        <v>4.2441613588110467</v>
      </c>
    </row>
    <row r="152" spans="2:12" x14ac:dyDescent="0.2">
      <c r="B152" s="3" t="s">
        <v>383</v>
      </c>
      <c r="E152" s="122" t="e">
        <f t="shared" ref="E152:G152" si="113">(E122-E110)/E86</f>
        <v>#DIV/0!</v>
      </c>
      <c r="F152" s="122" t="e">
        <f t="shared" si="113"/>
        <v>#DIV/0!</v>
      </c>
      <c r="G152" s="122" t="e">
        <f t="shared" si="113"/>
        <v>#DIV/0!</v>
      </c>
      <c r="H152" s="150" t="e">
        <f>+(H122-H112)/H86</f>
        <v>#DIV/0!</v>
      </c>
      <c r="I152" s="150">
        <f>+(I122-I112)/I86</f>
        <v>0.55674676524953792</v>
      </c>
      <c r="J152" s="150">
        <f t="shared" ref="J152:L152" si="114">+(J122-J112)/J86</f>
        <v>0.71676788124156532</v>
      </c>
      <c r="K152" s="150">
        <f t="shared" si="114"/>
        <v>0.66805165637282438</v>
      </c>
      <c r="L152" s="150">
        <f t="shared" si="114"/>
        <v>0.70943437431753675</v>
      </c>
    </row>
    <row r="153" spans="2:12" x14ac:dyDescent="0.2">
      <c r="B153" s="3" t="s">
        <v>416</v>
      </c>
      <c r="E153" s="122" t="e">
        <f>E126/E89</f>
        <v>#DIV/0!</v>
      </c>
      <c r="F153" s="122" t="e">
        <f t="shared" ref="F153:K153" si="115">F126/F89</f>
        <v>#DIV/0!</v>
      </c>
      <c r="G153" s="122" t="e">
        <f t="shared" si="115"/>
        <v>#DIV/0!</v>
      </c>
      <c r="H153" s="122" t="e">
        <f t="shared" si="115"/>
        <v>#DIV/0!</v>
      </c>
      <c r="I153" s="150">
        <f>I126/I89</f>
        <v>9.1930294906166221</v>
      </c>
      <c r="J153" s="122">
        <f t="shared" si="115"/>
        <v>16.72596153846154</v>
      </c>
      <c r="K153" s="122">
        <f t="shared" si="115"/>
        <v>27.778761061946906</v>
      </c>
      <c r="L153" s="122">
        <f t="shared" ref="L153" si="116">L126/L89</f>
        <v>254.45454545454544</v>
      </c>
    </row>
    <row r="154" spans="2:12" x14ac:dyDescent="0.2">
      <c r="B154" s="3" t="s">
        <v>165</v>
      </c>
      <c r="E154" s="122" t="e">
        <f>(E45+E29)/E79</f>
        <v>#DIV/0!</v>
      </c>
      <c r="F154" s="122" t="e">
        <f t="shared" ref="F154:H154" si="117">(F45+F29)/F79</f>
        <v>#DIV/0!</v>
      </c>
      <c r="G154" s="122" t="e">
        <f t="shared" si="117"/>
        <v>#DIV/0!</v>
      </c>
      <c r="H154" s="122" t="e">
        <f t="shared" si="117"/>
        <v>#DIV/0!</v>
      </c>
      <c r="I154" s="150">
        <f>(I57+I29+I47)/(I47+I79)</f>
        <v>3.0753424657534469</v>
      </c>
      <c r="J154" s="150">
        <f t="shared" ref="J154:L154" si="118">(J57+J29+J47)/(J47+J79)</f>
        <v>2.9632107023411409</v>
      </c>
      <c r="K154" s="150">
        <f t="shared" si="118"/>
        <v>8.4959349593496789</v>
      </c>
      <c r="L154" s="150">
        <f t="shared" si="118"/>
        <v>10.210526315789499</v>
      </c>
    </row>
    <row r="157" spans="2:12" x14ac:dyDescent="0.2">
      <c r="J157" s="121">
        <f>(J122-J112)/J86</f>
        <v>0.71676788124156532</v>
      </c>
    </row>
    <row r="159" spans="2:12" x14ac:dyDescent="0.2">
      <c r="I159" s="153">
        <f>+I12-I44+I29-I55-(I70-H70)</f>
        <v>-8.3199999999999328</v>
      </c>
      <c r="J159" s="153">
        <f>+J12-J44+J29-J55-(J70-I70)</f>
        <v>-3.5599999999999881</v>
      </c>
      <c r="K159" s="153">
        <f t="shared" ref="K159:L159" si="119">+K12-K44+K29-K55-(K70-J70)</f>
        <v>-20.649999999999899</v>
      </c>
      <c r="L159" s="153">
        <f t="shared" si="119"/>
        <v>16.01000000000003</v>
      </c>
    </row>
    <row r="162" spans="2:12" x14ac:dyDescent="0.2">
      <c r="B162" s="3" t="s">
        <v>362</v>
      </c>
      <c r="I162" s="153">
        <f>+I60</f>
        <v>5.2500000000000648</v>
      </c>
      <c r="J162" s="153">
        <f t="shared" ref="J162:L162" si="120">+J60</f>
        <v>4.7900000000000116</v>
      </c>
      <c r="K162" s="153">
        <f t="shared" si="120"/>
        <v>6.8400000000001029</v>
      </c>
      <c r="L162" s="153">
        <f t="shared" si="120"/>
        <v>8.1200000000000312</v>
      </c>
    </row>
    <row r="163" spans="2:12" x14ac:dyDescent="0.2">
      <c r="B163" s="3" t="s">
        <v>427</v>
      </c>
      <c r="I163" s="153">
        <f>+I29</f>
        <v>3.23</v>
      </c>
      <c r="J163" s="153">
        <f t="shared" ref="J163:L163" si="121">+J29</f>
        <v>3.47</v>
      </c>
      <c r="K163" s="153">
        <f t="shared" si="121"/>
        <v>3.4</v>
      </c>
      <c r="L163" s="153">
        <f t="shared" si="121"/>
        <v>3.4</v>
      </c>
    </row>
    <row r="165" spans="2:12" x14ac:dyDescent="0.2">
      <c r="B165" s="3" t="s">
        <v>428</v>
      </c>
      <c r="I165" s="153">
        <f>+I122-I105</f>
        <v>63.75</v>
      </c>
      <c r="J165" s="153">
        <f>+J122-J105</f>
        <v>72.58</v>
      </c>
      <c r="K165" s="153">
        <f t="shared" ref="K165:L165" si="122">+K122-K105</f>
        <v>110.76</v>
      </c>
      <c r="L165" s="153">
        <f t="shared" si="122"/>
        <v>118.23000000000002</v>
      </c>
    </row>
    <row r="166" spans="2:12" x14ac:dyDescent="0.2">
      <c r="B166" s="3" t="s">
        <v>429</v>
      </c>
      <c r="I166" s="153">
        <f>+I86-I70</f>
        <v>34.950000000000003</v>
      </c>
      <c r="J166" s="153">
        <f>+J86-J70</f>
        <v>24.770000000000003</v>
      </c>
      <c r="K166" s="153">
        <f t="shared" ref="K166:L166" si="123">+K86-K70</f>
        <v>19.049999999999997</v>
      </c>
      <c r="L166" s="153">
        <f t="shared" si="123"/>
        <v>21.58</v>
      </c>
    </row>
    <row r="168" spans="2:12" x14ac:dyDescent="0.2">
      <c r="J168" s="121">
        <f>+J166-I166</f>
        <v>-10.18</v>
      </c>
      <c r="K168" s="121">
        <f>+K166-J166</f>
        <v>-5.720000000000006</v>
      </c>
      <c r="L168" s="121">
        <f t="shared" ref="L168" si="124">+L166-K166</f>
        <v>2.5300000000000011</v>
      </c>
    </row>
    <row r="169" spans="2:12" x14ac:dyDescent="0.2">
      <c r="J169" s="121">
        <f>-J165+I165</f>
        <v>-8.8299999999999983</v>
      </c>
      <c r="K169" s="121">
        <f>-K165+J165</f>
        <v>-38.180000000000007</v>
      </c>
      <c r="L169" s="121">
        <f t="shared" ref="L169" si="125">-L165+K165</f>
        <v>-7.4700000000000131</v>
      </c>
    </row>
    <row r="170" spans="2:12" x14ac:dyDescent="0.2">
      <c r="J170" s="121">
        <f>+J162+J163+J168+J169</f>
        <v>-10.749999999999986</v>
      </c>
      <c r="K170" s="121">
        <f>+K162+K163+K168+K169</f>
        <v>-33.659999999999911</v>
      </c>
      <c r="L170" s="121">
        <f>+L162+L163+L168+L169</f>
        <v>6.5800000000000196</v>
      </c>
    </row>
  </sheetData>
  <mergeCells count="2">
    <mergeCell ref="D103:G103"/>
    <mergeCell ref="I103:L103"/>
  </mergeCells>
  <pageMargins left="0.7" right="0.7" top="0.75" bottom="0.75" header="0.3" footer="0.3"/>
  <pageSetup scale="57" fitToWidth="5" fitToHeight="5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Button 5">
              <controlPr defaultSize="0" print="0" autoFill="0" autoPict="0" macro="[0]!HUCols">
                <anchor moveWithCells="1">
                  <from>
                    <xdr:col>8</xdr:col>
                    <xdr:colOff>304800</xdr:colOff>
                    <xdr:row>0</xdr:row>
                    <xdr:rowOff>114300</xdr:rowOff>
                  </from>
                  <to>
                    <xdr:col>9</xdr:col>
                    <xdr:colOff>161925</xdr:colOff>
                    <xdr:row>2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182AB-EA72-4606-9B4E-2484303455CE}">
  <dimension ref="A1:E137"/>
  <sheetViews>
    <sheetView topLeftCell="A74" workbookViewId="0">
      <selection activeCell="B92" sqref="B92"/>
    </sheetView>
  </sheetViews>
  <sheetFormatPr defaultRowHeight="15" x14ac:dyDescent="0.25"/>
  <cols>
    <col min="1" max="1" width="49" customWidth="1"/>
    <col min="2" max="2" width="10" bestFit="1" customWidth="1"/>
    <col min="3" max="3" width="11.42578125" bestFit="1" customWidth="1"/>
    <col min="4" max="4" width="10.85546875" customWidth="1"/>
    <col min="5" max="5" width="9.28515625" customWidth="1"/>
  </cols>
  <sheetData>
    <row r="1" spans="1:5" x14ac:dyDescent="0.25">
      <c r="A1" t="s">
        <v>433</v>
      </c>
      <c r="B1" t="s">
        <v>434</v>
      </c>
      <c r="C1" t="s">
        <v>435</v>
      </c>
      <c r="D1" t="s">
        <v>436</v>
      </c>
      <c r="E1" t="s">
        <v>437</v>
      </c>
    </row>
    <row r="2" spans="1:5" x14ac:dyDescent="0.25">
      <c r="A2" t="s">
        <v>0</v>
      </c>
      <c r="B2" t="s">
        <v>109</v>
      </c>
      <c r="C2" t="s">
        <v>109</v>
      </c>
      <c r="D2" t="s">
        <v>108</v>
      </c>
      <c r="E2" t="s">
        <v>108</v>
      </c>
    </row>
    <row r="3" spans="1:5" x14ac:dyDescent="0.25">
      <c r="A3" t="s">
        <v>1</v>
      </c>
      <c r="B3" s="163">
        <v>564.38</v>
      </c>
      <c r="C3" s="163">
        <v>471.12</v>
      </c>
      <c r="D3" s="163">
        <v>528.88</v>
      </c>
      <c r="E3" s="163">
        <v>603.94000000000005</v>
      </c>
    </row>
    <row r="4" spans="1:5" x14ac:dyDescent="0.25">
      <c r="A4" t="s">
        <v>2</v>
      </c>
      <c r="B4" s="163">
        <v>564.38</v>
      </c>
      <c r="C4" s="163">
        <v>471.12</v>
      </c>
      <c r="D4" s="163">
        <v>528.88</v>
      </c>
      <c r="E4" s="163">
        <v>603.94000000000005</v>
      </c>
    </row>
    <row r="5" spans="1:5" x14ac:dyDescent="0.25">
      <c r="A5" t="s">
        <v>3</v>
      </c>
      <c r="B5" s="163"/>
      <c r="C5" s="163"/>
      <c r="D5" s="163"/>
      <c r="E5" s="163"/>
    </row>
    <row r="6" spans="1:5" x14ac:dyDescent="0.25">
      <c r="A6" t="s">
        <v>4</v>
      </c>
      <c r="B6" s="163"/>
      <c r="C6" s="163"/>
      <c r="D6" s="163"/>
      <c r="E6" s="163"/>
    </row>
    <row r="7" spans="1:5" x14ac:dyDescent="0.25">
      <c r="A7" t="s">
        <v>5</v>
      </c>
      <c r="B7" s="163">
        <v>564.38</v>
      </c>
      <c r="C7" s="163">
        <v>471.12</v>
      </c>
      <c r="D7" s="163">
        <v>528.88</v>
      </c>
      <c r="E7" s="163">
        <v>603.94000000000005</v>
      </c>
    </row>
    <row r="8" spans="1:5" x14ac:dyDescent="0.25">
      <c r="A8" t="s">
        <v>6</v>
      </c>
      <c r="B8" s="163"/>
      <c r="C8" s="163"/>
      <c r="D8" s="163"/>
      <c r="E8" s="163"/>
    </row>
    <row r="9" spans="1:5" x14ac:dyDescent="0.25">
      <c r="A9" t="s">
        <v>7</v>
      </c>
      <c r="B9" s="163">
        <v>564.38</v>
      </c>
      <c r="C9" s="163">
        <v>471.12</v>
      </c>
      <c r="D9" s="163">
        <v>528.88</v>
      </c>
      <c r="E9" s="163">
        <v>603.94000000000005</v>
      </c>
    </row>
    <row r="10" spans="1:5" x14ac:dyDescent="0.25">
      <c r="A10" t="s">
        <v>8</v>
      </c>
      <c r="B10" s="164" t="e">
        <v>#DIV/0!</v>
      </c>
      <c r="C10" s="164">
        <v>-0.16524327580708031</v>
      </c>
      <c r="D10" s="164">
        <v>0.12260146034980469</v>
      </c>
      <c r="E10" s="164">
        <v>0.14192255332022399</v>
      </c>
    </row>
    <row r="11" spans="1:5" x14ac:dyDescent="0.25">
      <c r="A11" t="s">
        <v>9</v>
      </c>
      <c r="B11" s="163"/>
    </row>
    <row r="12" spans="1:5" x14ac:dyDescent="0.25">
      <c r="A12" t="s">
        <v>279</v>
      </c>
      <c r="B12" s="163">
        <v>473.14</v>
      </c>
      <c r="C12" s="163">
        <v>384.37</v>
      </c>
      <c r="D12" s="163">
        <v>435.88</v>
      </c>
      <c r="E12" s="163">
        <v>491.28</v>
      </c>
    </row>
    <row r="13" spans="1:5" x14ac:dyDescent="0.25">
      <c r="A13" t="s">
        <v>89</v>
      </c>
      <c r="B13" s="163"/>
      <c r="C13" s="163"/>
      <c r="D13" s="163"/>
      <c r="E13" s="163"/>
    </row>
    <row r="14" spans="1:5" x14ac:dyDescent="0.25">
      <c r="A14" t="s">
        <v>10</v>
      </c>
      <c r="B14" s="163">
        <v>473.14</v>
      </c>
      <c r="C14" s="163">
        <v>384.37</v>
      </c>
      <c r="D14" s="163">
        <v>435.88</v>
      </c>
      <c r="E14" s="163">
        <v>491.28</v>
      </c>
    </row>
    <row r="15" spans="1:5" x14ac:dyDescent="0.25">
      <c r="A15" t="s">
        <v>396</v>
      </c>
      <c r="B15" s="163">
        <v>11.37</v>
      </c>
      <c r="C15" s="163">
        <v>8.3000000000000007</v>
      </c>
      <c r="D15" s="163">
        <v>9.81</v>
      </c>
      <c r="E15" s="163">
        <v>11.05</v>
      </c>
    </row>
    <row r="16" spans="1:5" x14ac:dyDescent="0.25">
      <c r="A16" t="s">
        <v>11</v>
      </c>
      <c r="B16" s="163"/>
      <c r="C16" s="163"/>
      <c r="D16" s="163"/>
      <c r="E16" s="163"/>
    </row>
    <row r="17" spans="1:5" x14ac:dyDescent="0.25">
      <c r="A17" t="s">
        <v>12</v>
      </c>
      <c r="B17" s="163">
        <v>71.290000000000006</v>
      </c>
      <c r="C17" s="163">
        <v>61.98</v>
      </c>
      <c r="D17" s="163">
        <v>70.349999999999994</v>
      </c>
      <c r="E17" s="163">
        <v>80</v>
      </c>
    </row>
    <row r="18" spans="1:5" x14ac:dyDescent="0.25">
      <c r="A18" t="s">
        <v>13</v>
      </c>
      <c r="B18" s="163">
        <v>0.8</v>
      </c>
      <c r="C18" s="163">
        <v>0.89</v>
      </c>
      <c r="D18" s="163">
        <v>1.63</v>
      </c>
      <c r="E18" s="163">
        <v>1.79</v>
      </c>
    </row>
    <row r="19" spans="1:5" x14ac:dyDescent="0.25">
      <c r="A19" t="s">
        <v>14</v>
      </c>
      <c r="B19" s="163">
        <v>1.2</v>
      </c>
      <c r="C19" s="163">
        <v>1.03</v>
      </c>
      <c r="D19" s="163">
        <v>1.08</v>
      </c>
      <c r="E19" s="163">
        <v>1.19</v>
      </c>
    </row>
    <row r="20" spans="1:5" x14ac:dyDescent="0.25">
      <c r="A20" t="s">
        <v>15</v>
      </c>
      <c r="B20" s="163">
        <v>3.23</v>
      </c>
      <c r="C20" s="163">
        <v>3.47</v>
      </c>
      <c r="D20" s="163">
        <v>3.4</v>
      </c>
      <c r="E20" s="163">
        <v>3.4</v>
      </c>
    </row>
    <row r="21" spans="1:5" x14ac:dyDescent="0.25">
      <c r="A21" t="s">
        <v>16</v>
      </c>
      <c r="B21" s="163">
        <v>561.03</v>
      </c>
      <c r="C21" s="163">
        <v>460.04</v>
      </c>
      <c r="D21" s="163">
        <v>522.15</v>
      </c>
      <c r="E21" s="163">
        <v>588.71</v>
      </c>
    </row>
    <row r="22" spans="1:5" x14ac:dyDescent="0.25">
      <c r="A22" t="s">
        <v>17</v>
      </c>
      <c r="B22" s="163"/>
      <c r="C22" s="163"/>
      <c r="D22" s="163"/>
      <c r="E22" s="163"/>
    </row>
    <row r="23" spans="1:5" x14ac:dyDescent="0.25">
      <c r="A23" t="s">
        <v>18</v>
      </c>
      <c r="B23" s="163"/>
      <c r="C23" s="163"/>
      <c r="D23" s="163"/>
      <c r="E23" s="163"/>
    </row>
    <row r="24" spans="1:5" x14ac:dyDescent="0.25">
      <c r="A24" t="s">
        <v>19</v>
      </c>
      <c r="B24" s="163">
        <v>561.03</v>
      </c>
      <c r="C24" s="163">
        <v>460.04</v>
      </c>
      <c r="D24" s="163">
        <v>522.15</v>
      </c>
      <c r="E24" s="163">
        <v>588.71</v>
      </c>
    </row>
    <row r="25" spans="1:5" x14ac:dyDescent="0.25">
      <c r="A25" t="s">
        <v>20</v>
      </c>
      <c r="B25" s="163"/>
      <c r="C25" s="163"/>
      <c r="D25" s="163"/>
      <c r="E25" s="163"/>
    </row>
    <row r="26" spans="1:5" x14ac:dyDescent="0.25">
      <c r="A26" t="s">
        <v>21</v>
      </c>
      <c r="B26" s="163">
        <v>561.03</v>
      </c>
      <c r="C26" s="163">
        <v>460.04</v>
      </c>
      <c r="D26" s="163">
        <v>522.15</v>
      </c>
      <c r="E26" s="163">
        <v>588.71</v>
      </c>
    </row>
    <row r="27" spans="1:5" x14ac:dyDescent="0.25">
      <c r="A27" t="s">
        <v>22</v>
      </c>
      <c r="B27" s="163">
        <v>11.09</v>
      </c>
      <c r="C27" s="163">
        <v>22.59</v>
      </c>
      <c r="D27" s="163">
        <v>25.66</v>
      </c>
      <c r="E27" s="163">
        <v>36.36</v>
      </c>
    </row>
    <row r="28" spans="1:5" x14ac:dyDescent="0.25">
      <c r="A28" t="s">
        <v>19</v>
      </c>
      <c r="B28" s="163">
        <v>572.12</v>
      </c>
      <c r="C28" s="163">
        <v>482.63</v>
      </c>
      <c r="D28" s="163">
        <v>547.80999999999995</v>
      </c>
      <c r="E28" s="163">
        <v>625.07000000000005</v>
      </c>
    </row>
    <row r="29" spans="1:5" x14ac:dyDescent="0.25">
      <c r="A29" t="s">
        <v>23</v>
      </c>
      <c r="B29" s="163">
        <v>22.59</v>
      </c>
      <c r="C29" s="163">
        <v>25.66</v>
      </c>
      <c r="D29" s="163">
        <v>36.36</v>
      </c>
      <c r="E29" s="163">
        <v>41.34</v>
      </c>
    </row>
    <row r="30" spans="1:5" x14ac:dyDescent="0.25">
      <c r="A30" t="s">
        <v>9</v>
      </c>
      <c r="B30" s="163">
        <v>549.53</v>
      </c>
      <c r="C30" s="163">
        <v>456.96999999999997</v>
      </c>
      <c r="D30" s="163">
        <v>511.44999999999993</v>
      </c>
      <c r="E30" s="163">
        <v>583.73</v>
      </c>
    </row>
    <row r="31" spans="1:5" x14ac:dyDescent="0.25">
      <c r="A31" t="s">
        <v>24</v>
      </c>
      <c r="B31" s="163">
        <v>1.9199999999999957</v>
      </c>
      <c r="C31" s="163">
        <v>3.5999999999999952</v>
      </c>
      <c r="D31" s="163">
        <v>3.17</v>
      </c>
      <c r="E31" s="163">
        <v>3.62</v>
      </c>
    </row>
    <row r="32" spans="1:5" x14ac:dyDescent="0.25">
      <c r="A32" t="s">
        <v>25</v>
      </c>
      <c r="B32" s="163"/>
      <c r="C32" s="163"/>
      <c r="D32" s="163"/>
      <c r="E32" s="163"/>
    </row>
    <row r="33" spans="1:5" x14ac:dyDescent="0.25">
      <c r="A33" t="s">
        <v>26</v>
      </c>
      <c r="B33" s="163">
        <v>1.4199999999999957</v>
      </c>
      <c r="C33" s="163">
        <v>3.0099999999999953</v>
      </c>
      <c r="D33" s="163">
        <v>3.17</v>
      </c>
      <c r="E33" s="163">
        <v>3.62</v>
      </c>
    </row>
    <row r="34" spans="1:5" x14ac:dyDescent="0.25">
      <c r="A34" t="s">
        <v>27</v>
      </c>
      <c r="B34" s="163">
        <v>0.5</v>
      </c>
      <c r="C34" s="163">
        <v>0.59</v>
      </c>
      <c r="D34" s="163"/>
      <c r="E34" s="163"/>
    </row>
    <row r="35" spans="1:5" x14ac:dyDescent="0.25">
      <c r="A35" t="s">
        <v>28</v>
      </c>
      <c r="B35" s="163">
        <v>551.44999999999993</v>
      </c>
      <c r="C35" s="163">
        <v>460.57</v>
      </c>
      <c r="D35" s="163">
        <v>514.61999999999989</v>
      </c>
      <c r="E35" s="163">
        <v>587.35</v>
      </c>
    </row>
    <row r="36" spans="1:5" x14ac:dyDescent="0.25">
      <c r="A36" t="s">
        <v>29</v>
      </c>
      <c r="B36" s="163">
        <v>12.930000000000064</v>
      </c>
      <c r="C36" s="163">
        <v>10.550000000000011</v>
      </c>
      <c r="D36" s="163">
        <v>14.260000000000105</v>
      </c>
      <c r="E36" s="163">
        <v>16.590000000000032</v>
      </c>
    </row>
    <row r="37" spans="1:5" x14ac:dyDescent="0.25">
      <c r="A37" t="s">
        <v>30</v>
      </c>
      <c r="B37" s="163">
        <v>2.4500000000000002</v>
      </c>
      <c r="C37" s="163">
        <v>3.69</v>
      </c>
      <c r="D37" s="163">
        <v>4.8</v>
      </c>
      <c r="E37" s="163">
        <v>4.71</v>
      </c>
    </row>
    <row r="38" spans="1:5" x14ac:dyDescent="0.25">
      <c r="A38" t="s">
        <v>244</v>
      </c>
      <c r="B38" s="163">
        <v>0.5</v>
      </c>
      <c r="C38" s="163">
        <v>0.6</v>
      </c>
      <c r="D38" s="163">
        <v>0.21</v>
      </c>
      <c r="E38" s="163">
        <v>0.12</v>
      </c>
    </row>
    <row r="39" spans="1:5" x14ac:dyDescent="0.25">
      <c r="A39" t="s">
        <v>242</v>
      </c>
      <c r="B39" s="163">
        <v>1.95</v>
      </c>
      <c r="C39" s="163">
        <v>3.09</v>
      </c>
      <c r="D39" s="163">
        <v>4.59</v>
      </c>
      <c r="E39" s="163">
        <v>4.59</v>
      </c>
    </row>
    <row r="40" spans="1:5" x14ac:dyDescent="0.25">
      <c r="A40" t="s">
        <v>243</v>
      </c>
      <c r="B40" s="163"/>
      <c r="C40" s="163"/>
      <c r="D40" s="163"/>
      <c r="E40" s="163"/>
    </row>
    <row r="41" spans="1:5" x14ac:dyDescent="0.25">
      <c r="A41" t="s">
        <v>31</v>
      </c>
      <c r="B41" s="163">
        <v>10.480000000000064</v>
      </c>
      <c r="C41" s="163">
        <v>6.8600000000000119</v>
      </c>
      <c r="D41" s="163">
        <v>9.4600000000001039</v>
      </c>
      <c r="E41" s="163">
        <v>11.880000000000031</v>
      </c>
    </row>
    <row r="42" spans="1:5" x14ac:dyDescent="0.25">
      <c r="A42" t="s">
        <v>32</v>
      </c>
      <c r="B42" s="163">
        <v>0.1</v>
      </c>
      <c r="C42" s="163">
        <v>0.15</v>
      </c>
      <c r="D42" s="163"/>
      <c r="E42" s="163"/>
    </row>
    <row r="43" spans="1:5" x14ac:dyDescent="0.25">
      <c r="A43" t="s">
        <v>33</v>
      </c>
      <c r="B43" s="163"/>
      <c r="C43" s="163"/>
      <c r="D43" s="163"/>
      <c r="E43" s="163"/>
    </row>
    <row r="44" spans="1:5" x14ac:dyDescent="0.25">
      <c r="A44" t="s">
        <v>34</v>
      </c>
      <c r="B44" s="163">
        <v>0.1</v>
      </c>
      <c r="C44" s="163">
        <v>0.15</v>
      </c>
      <c r="D44" s="163">
        <v>0.2</v>
      </c>
      <c r="E44" s="163">
        <v>0.22</v>
      </c>
    </row>
    <row r="45" spans="1:5" x14ac:dyDescent="0.25">
      <c r="A45" t="s">
        <v>35</v>
      </c>
      <c r="B45" s="163">
        <v>10.580000000000064</v>
      </c>
      <c r="C45" s="163">
        <v>7.0100000000000122</v>
      </c>
      <c r="D45" s="163">
        <v>9.6600000000001032</v>
      </c>
      <c r="E45" s="163">
        <v>12.100000000000032</v>
      </c>
    </row>
    <row r="46" spans="1:5" x14ac:dyDescent="0.25">
      <c r="A46" t="s">
        <v>36</v>
      </c>
      <c r="B46" s="163">
        <v>5.3299999999999992</v>
      </c>
      <c r="C46" s="163">
        <v>2.2200000000000002</v>
      </c>
      <c r="D46" s="163">
        <v>2.8200000000000003</v>
      </c>
      <c r="E46" s="163">
        <v>3.98</v>
      </c>
    </row>
    <row r="47" spans="1:5" x14ac:dyDescent="0.25">
      <c r="A47" t="s">
        <v>37</v>
      </c>
      <c r="B47" s="163"/>
      <c r="C47" s="163"/>
      <c r="D47" s="163"/>
      <c r="E47" s="163"/>
    </row>
    <row r="48" spans="1:5" x14ac:dyDescent="0.25">
      <c r="A48" t="s">
        <v>38</v>
      </c>
      <c r="B48" s="163">
        <v>5.2500000000000648</v>
      </c>
      <c r="C48" s="163">
        <v>4.7900000000000116</v>
      </c>
      <c r="D48" s="163">
        <v>6.8400000000001029</v>
      </c>
      <c r="E48" s="163">
        <v>8.1200000000000312</v>
      </c>
    </row>
    <row r="49" spans="1:5" x14ac:dyDescent="0.25">
      <c r="A49" t="s">
        <v>39</v>
      </c>
      <c r="B49" s="163">
        <v>0</v>
      </c>
      <c r="C49" s="163">
        <v>0</v>
      </c>
      <c r="D49" s="163">
        <v>0</v>
      </c>
      <c r="E49" s="163">
        <v>0</v>
      </c>
    </row>
    <row r="50" spans="1:5" x14ac:dyDescent="0.25">
      <c r="A50" t="s">
        <v>40</v>
      </c>
      <c r="B50" s="165">
        <v>0</v>
      </c>
      <c r="C50" s="165">
        <v>0</v>
      </c>
      <c r="D50" s="165">
        <v>0</v>
      </c>
      <c r="E50" s="165">
        <v>0</v>
      </c>
    </row>
    <row r="51" spans="1:5" x14ac:dyDescent="0.25">
      <c r="A51" t="s">
        <v>41</v>
      </c>
      <c r="B51" s="163">
        <v>5.2500000000000648</v>
      </c>
      <c r="C51" s="163">
        <v>4.7900000000000116</v>
      </c>
      <c r="D51" s="163">
        <v>6.8400000000001029</v>
      </c>
      <c r="E51" s="163">
        <v>8.1200000000000312</v>
      </c>
    </row>
    <row r="52" spans="1:5" x14ac:dyDescent="0.25">
      <c r="A52" t="s">
        <v>42</v>
      </c>
      <c r="B52" s="163">
        <v>100</v>
      </c>
      <c r="C52" s="163">
        <v>100</v>
      </c>
      <c r="D52" s="163">
        <v>100</v>
      </c>
      <c r="E52" s="163">
        <v>100</v>
      </c>
    </row>
    <row r="53" spans="1:5" x14ac:dyDescent="0.25">
      <c r="A53" t="s">
        <v>43</v>
      </c>
      <c r="B53" s="163">
        <v>8.4800000000000644</v>
      </c>
      <c r="C53" s="163">
        <v>8.2600000000000122</v>
      </c>
      <c r="D53" s="163">
        <v>10.240000000000103</v>
      </c>
      <c r="E53" s="163">
        <v>11.520000000000032</v>
      </c>
    </row>
    <row r="54" spans="1:5" x14ac:dyDescent="0.25">
      <c r="A54" t="s">
        <v>44</v>
      </c>
      <c r="B54" s="163">
        <v>0.93022431694958452</v>
      </c>
      <c r="C54" s="163">
        <v>1.0167260995075589</v>
      </c>
      <c r="D54" s="163">
        <v>1.2932990470428269</v>
      </c>
      <c r="E54" s="163">
        <v>1.3445044209689754</v>
      </c>
    </row>
    <row r="55" spans="1:5" x14ac:dyDescent="0.25">
      <c r="A55" t="s">
        <v>45</v>
      </c>
      <c r="B55" s="163">
        <v>0.46666666666666096</v>
      </c>
      <c r="C55" s="163">
        <v>0.77035490605427792</v>
      </c>
      <c r="D55" s="163">
        <v>0.70175438596490169</v>
      </c>
      <c r="E55" s="163">
        <v>0.58004926108374166</v>
      </c>
    </row>
    <row r="56" spans="1:5" x14ac:dyDescent="0.25">
      <c r="A56" t="s">
        <v>46</v>
      </c>
      <c r="B56" s="163">
        <v>11.5</v>
      </c>
      <c r="C56" s="163">
        <v>3.0700000000000003</v>
      </c>
      <c r="D56" s="163">
        <v>10.7</v>
      </c>
      <c r="E56" s="163">
        <v>4.980000000000004</v>
      </c>
    </row>
    <row r="57" spans="1:5" x14ac:dyDescent="0.25">
      <c r="A57" t="s">
        <v>47</v>
      </c>
      <c r="B57" s="163">
        <v>9.7895035259931262</v>
      </c>
      <c r="C57" s="163">
        <v>13.962472406181016</v>
      </c>
      <c r="D57" s="163">
        <v>17.864165784298898</v>
      </c>
      <c r="E57" s="163">
        <v>17.834553101301452</v>
      </c>
    </row>
    <row r="58" spans="1:5" x14ac:dyDescent="0.25">
      <c r="B58" s="163"/>
      <c r="C58" s="163"/>
      <c r="D58" s="163"/>
      <c r="E58" s="163"/>
    </row>
    <row r="59" spans="1:5" x14ac:dyDescent="0.25">
      <c r="A59" t="s">
        <v>48</v>
      </c>
    </row>
    <row r="60" spans="1:5" x14ac:dyDescent="0.25">
      <c r="A60" t="s">
        <v>382</v>
      </c>
      <c r="B60" s="163"/>
      <c r="C60" s="163"/>
      <c r="D60" s="163"/>
      <c r="E60" s="163"/>
    </row>
    <row r="61" spans="1:5" x14ac:dyDescent="0.25">
      <c r="A61" t="s">
        <v>90</v>
      </c>
      <c r="B61" s="163">
        <v>19.149999999999999</v>
      </c>
      <c r="C61" s="163">
        <v>34.51</v>
      </c>
      <c r="D61" s="163">
        <v>70</v>
      </c>
      <c r="E61" s="163">
        <v>70</v>
      </c>
    </row>
    <row r="62" spans="1:5" x14ac:dyDescent="0.25">
      <c r="A62" t="s">
        <v>415</v>
      </c>
      <c r="B62" s="163"/>
      <c r="C62" s="163"/>
      <c r="D62" s="163"/>
      <c r="E62" s="163"/>
    </row>
    <row r="63" spans="1:5" x14ac:dyDescent="0.25">
      <c r="A63" t="s">
        <v>91</v>
      </c>
      <c r="B63" s="163"/>
      <c r="C63" s="163"/>
      <c r="D63" s="163"/>
      <c r="E63" s="163"/>
    </row>
    <row r="64" spans="1:5" x14ac:dyDescent="0.25">
      <c r="A64" t="s">
        <v>92</v>
      </c>
      <c r="B64" s="163"/>
      <c r="C64" s="163"/>
      <c r="D64" s="163"/>
      <c r="E64" s="163"/>
    </row>
    <row r="65" spans="1:5" x14ac:dyDescent="0.25">
      <c r="A65" t="s">
        <v>49</v>
      </c>
      <c r="B65" s="163">
        <v>19.149999999999999</v>
      </c>
      <c r="C65" s="163">
        <v>34.51</v>
      </c>
      <c r="D65" s="163">
        <v>70</v>
      </c>
      <c r="E65" s="163">
        <v>70</v>
      </c>
    </row>
    <row r="66" spans="1:5" x14ac:dyDescent="0.25">
      <c r="A66" t="s">
        <v>50</v>
      </c>
      <c r="B66" s="163">
        <v>17.22</v>
      </c>
      <c r="C66" s="163">
        <v>10.35</v>
      </c>
      <c r="D66" s="163">
        <v>10.469999999999999</v>
      </c>
      <c r="E66" s="163">
        <v>11.760000000000002</v>
      </c>
    </row>
    <row r="67" spans="1:5" x14ac:dyDescent="0.25">
      <c r="A67" t="s">
        <v>51</v>
      </c>
      <c r="B67" s="163"/>
      <c r="C67" s="163"/>
      <c r="D67" s="163"/>
      <c r="E67" s="163"/>
    </row>
    <row r="68" spans="1:5" x14ac:dyDescent="0.25">
      <c r="A68" t="s">
        <v>110</v>
      </c>
      <c r="B68" s="163"/>
      <c r="C68" s="163"/>
      <c r="D68" s="163"/>
      <c r="E68" s="163"/>
    </row>
    <row r="69" spans="1:5" x14ac:dyDescent="0.25">
      <c r="A69" t="s">
        <v>52</v>
      </c>
      <c r="B69" s="163"/>
      <c r="C69" s="163"/>
      <c r="D69" s="163"/>
      <c r="E69" s="163"/>
    </row>
    <row r="70" spans="1:5" x14ac:dyDescent="0.25">
      <c r="A70" t="s">
        <v>103</v>
      </c>
      <c r="B70" s="163">
        <v>2.42</v>
      </c>
      <c r="C70" s="163">
        <v>2.39</v>
      </c>
      <c r="D70" s="163">
        <v>1.02</v>
      </c>
      <c r="E70" s="163">
        <v>1.02</v>
      </c>
    </row>
    <row r="71" spans="1:5" x14ac:dyDescent="0.25">
      <c r="A71" t="s">
        <v>36</v>
      </c>
      <c r="B71" s="163"/>
      <c r="C71" s="163"/>
      <c r="D71" s="163"/>
      <c r="E71" s="163"/>
    </row>
    <row r="72" spans="1:5" x14ac:dyDescent="0.25">
      <c r="A72" t="s">
        <v>53</v>
      </c>
      <c r="B72" s="163"/>
      <c r="C72" s="163"/>
      <c r="D72" s="163"/>
      <c r="E72" s="163"/>
    </row>
    <row r="73" spans="1:5" x14ac:dyDescent="0.25">
      <c r="A73" t="s">
        <v>274</v>
      </c>
      <c r="B73" s="163"/>
      <c r="C73" s="163"/>
      <c r="D73" s="163"/>
      <c r="E73" s="163"/>
    </row>
    <row r="74" spans="1:5" x14ac:dyDescent="0.25">
      <c r="A74" t="s">
        <v>54</v>
      </c>
      <c r="B74" s="163"/>
      <c r="C74" s="163"/>
      <c r="D74" s="163"/>
      <c r="E74" s="163"/>
    </row>
    <row r="75" spans="1:5" x14ac:dyDescent="0.25">
      <c r="A75" t="s">
        <v>55</v>
      </c>
      <c r="B75" s="163">
        <v>15.31</v>
      </c>
      <c r="C75" s="163">
        <v>12.03</v>
      </c>
      <c r="D75" s="163">
        <v>7.56</v>
      </c>
      <c r="E75" s="163">
        <v>8.8000000000000007</v>
      </c>
    </row>
    <row r="76" spans="1:5" x14ac:dyDescent="0.25">
      <c r="A76" t="s">
        <v>56</v>
      </c>
      <c r="B76" s="163">
        <v>34.950000000000003</v>
      </c>
      <c r="C76" s="163">
        <v>24.77</v>
      </c>
      <c r="D76" s="163">
        <v>19.049999999999997</v>
      </c>
      <c r="E76" s="163">
        <v>21.580000000000002</v>
      </c>
    </row>
    <row r="77" spans="1:5" x14ac:dyDescent="0.25">
      <c r="A77" t="s">
        <v>57</v>
      </c>
      <c r="B77" s="163">
        <v>54.1</v>
      </c>
      <c r="C77" s="163">
        <v>59.28</v>
      </c>
      <c r="D77" s="163">
        <v>89.05</v>
      </c>
      <c r="E77" s="163">
        <v>91.58</v>
      </c>
    </row>
    <row r="78" spans="1:5" x14ac:dyDescent="0.25">
      <c r="A78" t="s">
        <v>58</v>
      </c>
      <c r="B78" s="163"/>
      <c r="C78" s="163"/>
      <c r="D78" s="163"/>
      <c r="E78" s="163"/>
    </row>
    <row r="79" spans="1:5" x14ac:dyDescent="0.25">
      <c r="A79" t="s">
        <v>414</v>
      </c>
      <c r="B79" s="163"/>
      <c r="C79" s="163"/>
      <c r="D79" s="163"/>
      <c r="E79" s="163"/>
    </row>
    <row r="80" spans="1:5" x14ac:dyDescent="0.25">
      <c r="A80" t="s">
        <v>59</v>
      </c>
      <c r="B80" s="163">
        <v>3.73</v>
      </c>
      <c r="C80" s="163">
        <v>2.08</v>
      </c>
      <c r="D80" s="163">
        <v>1.1299999999999999</v>
      </c>
      <c r="E80" s="163">
        <v>0.11</v>
      </c>
    </row>
    <row r="81" spans="1:5" x14ac:dyDescent="0.25">
      <c r="A81" t="s">
        <v>399</v>
      </c>
      <c r="B81" s="163">
        <v>2.78</v>
      </c>
      <c r="C81" s="163">
        <v>3.2</v>
      </c>
      <c r="D81" s="163">
        <v>3.2</v>
      </c>
      <c r="E81" s="163">
        <v>3.2</v>
      </c>
    </row>
    <row r="82" spans="1:5" x14ac:dyDescent="0.25">
      <c r="A82" t="s">
        <v>413</v>
      </c>
      <c r="B82" s="163"/>
      <c r="C82" s="163"/>
      <c r="D82" s="163"/>
      <c r="E82" s="163"/>
    </row>
    <row r="83" spans="1:5" x14ac:dyDescent="0.25">
      <c r="A83" t="s">
        <v>398</v>
      </c>
      <c r="B83" s="163">
        <v>5.17</v>
      </c>
      <c r="C83" s="163">
        <v>3.7</v>
      </c>
      <c r="D83" s="163">
        <v>3.7</v>
      </c>
      <c r="E83" s="163">
        <v>3.7</v>
      </c>
    </row>
    <row r="84" spans="1:5" x14ac:dyDescent="0.25">
      <c r="A84" t="s">
        <v>63</v>
      </c>
      <c r="B84" s="163"/>
      <c r="C84" s="163"/>
      <c r="D84" s="163"/>
      <c r="E84" s="163"/>
    </row>
    <row r="85" spans="1:5" x14ac:dyDescent="0.25">
      <c r="A85" t="s">
        <v>60</v>
      </c>
      <c r="B85" s="163">
        <v>11.68</v>
      </c>
      <c r="C85" s="163">
        <v>8.98</v>
      </c>
      <c r="D85" s="163">
        <v>8.0300000000000011</v>
      </c>
      <c r="E85" s="163">
        <v>7.01</v>
      </c>
    </row>
    <row r="86" spans="1:5" x14ac:dyDescent="0.25">
      <c r="A86" t="s">
        <v>61</v>
      </c>
      <c r="B86" s="163">
        <v>65.78</v>
      </c>
      <c r="C86" s="163">
        <v>68.260000000000005</v>
      </c>
      <c r="D86" s="163">
        <v>97.08</v>
      </c>
      <c r="E86" s="163">
        <v>98.59</v>
      </c>
    </row>
    <row r="87" spans="1:5" x14ac:dyDescent="0.25">
      <c r="A87" t="s">
        <v>62</v>
      </c>
      <c r="B87" s="163">
        <v>5.33</v>
      </c>
      <c r="C87" s="163">
        <v>5.33</v>
      </c>
      <c r="D87" s="163">
        <v>5.33</v>
      </c>
      <c r="E87" s="163">
        <v>5.33</v>
      </c>
    </row>
    <row r="88" spans="1:5" x14ac:dyDescent="0.25">
      <c r="A88" t="s">
        <v>307</v>
      </c>
      <c r="B88" s="163">
        <v>31.83</v>
      </c>
      <c r="C88" s="163">
        <v>36.619999999999997</v>
      </c>
      <c r="D88" s="163">
        <v>43.46</v>
      </c>
      <c r="E88" s="163">
        <v>51.58</v>
      </c>
    </row>
    <row r="89" spans="1:5" x14ac:dyDescent="0.25">
      <c r="A89" t="s">
        <v>412</v>
      </c>
      <c r="B89" s="163"/>
      <c r="C89" s="163"/>
      <c r="D89" s="163"/>
      <c r="E89" s="163"/>
    </row>
    <row r="90" spans="1:5" x14ac:dyDescent="0.25">
      <c r="A90" t="s">
        <v>64</v>
      </c>
      <c r="B90" s="163">
        <v>2</v>
      </c>
      <c r="C90" s="163">
        <v>2.2200000000000002</v>
      </c>
      <c r="D90" s="163">
        <v>2.48</v>
      </c>
      <c r="E90" s="163">
        <v>2.91</v>
      </c>
    </row>
    <row r="91" spans="1:5" x14ac:dyDescent="0.25">
      <c r="A91" t="s">
        <v>411</v>
      </c>
      <c r="B91" s="163"/>
      <c r="C91" s="163"/>
      <c r="D91" s="163"/>
      <c r="E91" s="163"/>
    </row>
    <row r="92" spans="1:5" x14ac:dyDescent="0.25">
      <c r="A92" t="s">
        <v>65</v>
      </c>
      <c r="B92" s="163">
        <v>39.159999999999997</v>
      </c>
      <c r="C92" s="163">
        <v>44.169999999999995</v>
      </c>
      <c r="D92" s="163">
        <v>51.269999999999996</v>
      </c>
      <c r="E92" s="163">
        <v>59.819999999999993</v>
      </c>
    </row>
    <row r="93" spans="1:5" x14ac:dyDescent="0.25">
      <c r="A93" t="s">
        <v>66</v>
      </c>
      <c r="B93" s="163">
        <v>104.94</v>
      </c>
      <c r="C93" s="163">
        <v>112.43</v>
      </c>
      <c r="D93" s="163">
        <v>148.35</v>
      </c>
      <c r="E93" s="163">
        <v>158.41</v>
      </c>
    </row>
    <row r="95" spans="1:5" x14ac:dyDescent="0.25">
      <c r="A95" t="s">
        <v>67</v>
      </c>
    </row>
    <row r="96" spans="1:5" x14ac:dyDescent="0.25">
      <c r="A96" t="s">
        <v>68</v>
      </c>
      <c r="B96" s="163">
        <v>2.81</v>
      </c>
      <c r="C96" s="163">
        <v>5.0199999999999996</v>
      </c>
      <c r="D96" s="163">
        <v>6.17</v>
      </c>
      <c r="E96" s="163">
        <v>12.16</v>
      </c>
    </row>
    <row r="97" spans="1:5" x14ac:dyDescent="0.25">
      <c r="A97" t="s">
        <v>69</v>
      </c>
      <c r="B97" s="163">
        <v>0</v>
      </c>
      <c r="C97" s="163">
        <v>0</v>
      </c>
      <c r="D97" s="163">
        <v>0</v>
      </c>
      <c r="E97" s="163">
        <v>0</v>
      </c>
    </row>
    <row r="98" spans="1:5" x14ac:dyDescent="0.25">
      <c r="A98" t="s">
        <v>70</v>
      </c>
      <c r="B98" s="163"/>
      <c r="C98" s="163"/>
      <c r="D98" s="163"/>
      <c r="E98" s="163"/>
    </row>
    <row r="99" spans="1:5" x14ac:dyDescent="0.25">
      <c r="A99" t="s">
        <v>270</v>
      </c>
      <c r="B99" s="163"/>
      <c r="C99" s="163"/>
      <c r="D99" s="163"/>
      <c r="E99" s="163"/>
    </row>
    <row r="100" spans="1:5" x14ac:dyDescent="0.25">
      <c r="A100" t="s">
        <v>88</v>
      </c>
      <c r="B100" s="163">
        <v>18.809999999999999</v>
      </c>
      <c r="C100" s="163">
        <v>30.67</v>
      </c>
      <c r="D100" s="163">
        <v>37.04</v>
      </c>
      <c r="E100" s="163">
        <v>42.29</v>
      </c>
    </row>
    <row r="101" spans="1:5" x14ac:dyDescent="0.25">
      <c r="A101" t="s">
        <v>271</v>
      </c>
      <c r="B101" s="163">
        <v>18.809999999999999</v>
      </c>
      <c r="C101" s="163">
        <v>30.67</v>
      </c>
      <c r="D101" s="163">
        <v>37.04</v>
      </c>
      <c r="E101" s="163">
        <v>42.29</v>
      </c>
    </row>
    <row r="102" spans="1:5" x14ac:dyDescent="0.25">
      <c r="A102" t="s">
        <v>247</v>
      </c>
      <c r="B102" s="163"/>
      <c r="C102" s="163"/>
      <c r="D102" s="163"/>
      <c r="E102" s="163"/>
    </row>
    <row r="103" spans="1:5" x14ac:dyDescent="0.25">
      <c r="A103" t="s">
        <v>71</v>
      </c>
      <c r="B103" s="163">
        <v>36.44</v>
      </c>
      <c r="C103" s="163">
        <v>35.11</v>
      </c>
      <c r="D103" s="163">
        <v>57.44</v>
      </c>
      <c r="E103" s="163">
        <v>65.42</v>
      </c>
    </row>
    <row r="104" spans="1:5" x14ac:dyDescent="0.25">
      <c r="A104" t="s">
        <v>95</v>
      </c>
      <c r="B104" s="163">
        <v>13.38</v>
      </c>
      <c r="C104" s="163">
        <v>8.9700000000000006</v>
      </c>
      <c r="D104" s="163">
        <v>20.100000000000001</v>
      </c>
      <c r="E104" s="163">
        <v>22.97</v>
      </c>
    </row>
    <row r="105" spans="1:5" x14ac:dyDescent="0.25">
      <c r="A105" t="s">
        <v>94</v>
      </c>
      <c r="B105" s="163"/>
      <c r="C105" s="163"/>
      <c r="D105" s="163"/>
      <c r="E105" s="163"/>
    </row>
    <row r="106" spans="1:5" x14ac:dyDescent="0.25">
      <c r="A106" t="s">
        <v>93</v>
      </c>
      <c r="B106" s="163">
        <v>13.38</v>
      </c>
      <c r="C106" s="163">
        <v>8.9700000000000006</v>
      </c>
      <c r="D106" s="163">
        <v>20.100000000000001</v>
      </c>
      <c r="E106" s="163">
        <v>22.97</v>
      </c>
    </row>
    <row r="107" spans="1:5" x14ac:dyDescent="0.25">
      <c r="A107" t="s">
        <v>96</v>
      </c>
      <c r="B107" s="163"/>
      <c r="C107" s="163"/>
      <c r="D107" s="163"/>
      <c r="E107" s="163"/>
    </row>
    <row r="108" spans="1:5" x14ac:dyDescent="0.25">
      <c r="A108" t="s">
        <v>97</v>
      </c>
      <c r="B108" s="163">
        <v>22.59</v>
      </c>
      <c r="C108" s="163">
        <v>25.66</v>
      </c>
      <c r="D108" s="163">
        <v>36.36</v>
      </c>
      <c r="E108" s="163">
        <v>41.34</v>
      </c>
    </row>
    <row r="109" spans="1:5" x14ac:dyDescent="0.25">
      <c r="A109" t="s">
        <v>98</v>
      </c>
      <c r="B109" s="163">
        <v>0.47</v>
      </c>
      <c r="C109" s="163">
        <v>0.48</v>
      </c>
      <c r="D109" s="163">
        <v>0.98</v>
      </c>
      <c r="E109" s="163">
        <v>1.1100000000000001</v>
      </c>
    </row>
    <row r="110" spans="1:5" x14ac:dyDescent="0.25">
      <c r="A110" t="s">
        <v>402</v>
      </c>
      <c r="B110" s="163">
        <v>7.57</v>
      </c>
      <c r="C110" s="163">
        <v>6.18</v>
      </c>
      <c r="D110" s="163"/>
      <c r="E110" s="163"/>
    </row>
    <row r="111" spans="1:5" x14ac:dyDescent="0.25">
      <c r="A111" t="s">
        <v>72</v>
      </c>
      <c r="B111" s="163">
        <v>0.92999999999999994</v>
      </c>
      <c r="C111" s="163">
        <v>0.61999999999999988</v>
      </c>
      <c r="D111" s="163">
        <v>16.28</v>
      </c>
      <c r="E111" s="163">
        <v>10.52</v>
      </c>
    </row>
    <row r="112" spans="1:5" x14ac:dyDescent="0.25">
      <c r="A112" t="s">
        <v>73</v>
      </c>
      <c r="B112" s="163"/>
      <c r="C112" s="163"/>
      <c r="D112" s="163"/>
      <c r="E112" s="163"/>
    </row>
    <row r="113" spans="1:5" x14ac:dyDescent="0.25">
      <c r="A113" t="s">
        <v>74</v>
      </c>
      <c r="B113" s="163">
        <v>66.56</v>
      </c>
      <c r="C113" s="163">
        <v>77.599999999999994</v>
      </c>
      <c r="D113" s="163">
        <v>116.93</v>
      </c>
      <c r="E113" s="163">
        <v>130.39000000000001</v>
      </c>
    </row>
    <row r="114" spans="1:5" x14ac:dyDescent="0.25">
      <c r="A114" t="s">
        <v>75</v>
      </c>
      <c r="B114" s="163"/>
      <c r="C114" s="163"/>
      <c r="D114" s="163"/>
      <c r="E114" s="163"/>
    </row>
    <row r="115" spans="1:5" x14ac:dyDescent="0.25">
      <c r="A115" t="s">
        <v>76</v>
      </c>
      <c r="B115" s="163">
        <v>34.29</v>
      </c>
      <c r="C115" s="163">
        <v>57.52</v>
      </c>
      <c r="D115" s="163">
        <v>31.39</v>
      </c>
      <c r="E115" s="163">
        <v>27.99</v>
      </c>
    </row>
    <row r="116" spans="1:5" x14ac:dyDescent="0.25">
      <c r="A116" t="s">
        <v>77</v>
      </c>
      <c r="B116" s="163"/>
      <c r="C116" s="163">
        <v>22.73</v>
      </c>
      <c r="D116" s="163"/>
      <c r="E116" s="163"/>
    </row>
    <row r="117" spans="1:5" x14ac:dyDescent="0.25">
      <c r="A117" t="s">
        <v>78</v>
      </c>
      <c r="B117" s="163">
        <v>34.29</v>
      </c>
      <c r="C117" s="163">
        <v>34.790000000000006</v>
      </c>
      <c r="D117" s="163">
        <v>31.39</v>
      </c>
      <c r="E117" s="163">
        <v>27.99</v>
      </c>
    </row>
    <row r="118" spans="1:5" x14ac:dyDescent="0.25">
      <c r="A118" t="s">
        <v>79</v>
      </c>
      <c r="B118" s="163"/>
      <c r="C118" s="163"/>
      <c r="D118" s="163"/>
      <c r="E118" s="163"/>
    </row>
    <row r="119" spans="1:5" x14ac:dyDescent="0.25">
      <c r="A119" t="s">
        <v>80</v>
      </c>
      <c r="B119" s="163">
        <v>0.03</v>
      </c>
      <c r="C119" s="163">
        <v>0.03</v>
      </c>
      <c r="D119" s="163">
        <v>0.03</v>
      </c>
      <c r="E119" s="163">
        <v>0.03</v>
      </c>
    </row>
    <row r="120" spans="1:5" x14ac:dyDescent="0.25">
      <c r="A120" t="s">
        <v>246</v>
      </c>
      <c r="B120" s="163"/>
      <c r="C120" s="163"/>
      <c r="D120" s="163"/>
      <c r="E120" s="163"/>
    </row>
    <row r="121" spans="1:5" x14ac:dyDescent="0.25">
      <c r="A121" t="s">
        <v>408</v>
      </c>
      <c r="B121" s="163"/>
      <c r="C121" s="163"/>
      <c r="D121" s="163"/>
      <c r="E121" s="163"/>
    </row>
    <row r="122" spans="1:5" x14ac:dyDescent="0.25">
      <c r="A122" t="s">
        <v>401</v>
      </c>
      <c r="B122" s="163"/>
      <c r="C122" s="163"/>
      <c r="D122" s="163"/>
      <c r="E122" s="163"/>
    </row>
    <row r="123" spans="1:5" x14ac:dyDescent="0.25">
      <c r="A123" t="s">
        <v>392</v>
      </c>
      <c r="B123" s="163"/>
      <c r="C123" s="163"/>
      <c r="D123" s="163"/>
      <c r="E123" s="163"/>
    </row>
    <row r="124" spans="1:5" x14ac:dyDescent="0.25">
      <c r="A124" t="s">
        <v>400</v>
      </c>
      <c r="B124" s="163">
        <v>3.84</v>
      </c>
      <c r="C124" s="163"/>
      <c r="D124" s="163"/>
      <c r="E124" s="163"/>
    </row>
    <row r="125" spans="1:5" x14ac:dyDescent="0.25">
      <c r="A125" t="s">
        <v>395</v>
      </c>
      <c r="B125" s="163">
        <v>0.22</v>
      </c>
      <c r="C125" s="163">
        <v>0.01</v>
      </c>
      <c r="D125" s="163"/>
      <c r="E125" s="163"/>
    </row>
    <row r="126" spans="1:5" x14ac:dyDescent="0.25">
      <c r="A126" t="s">
        <v>81</v>
      </c>
      <c r="B126" s="163">
        <v>4.09</v>
      </c>
      <c r="C126" s="163">
        <v>0.04</v>
      </c>
      <c r="D126" s="163">
        <v>0.03</v>
      </c>
      <c r="E126" s="163">
        <v>0.03</v>
      </c>
    </row>
    <row r="127" spans="1:5" x14ac:dyDescent="0.25">
      <c r="A127" t="s">
        <v>407</v>
      </c>
      <c r="B127" s="163"/>
      <c r="C127" s="163"/>
      <c r="D127" s="163"/>
      <c r="E127" s="163"/>
    </row>
    <row r="128" spans="1:5" x14ac:dyDescent="0.25">
      <c r="A128" t="s">
        <v>82</v>
      </c>
      <c r="B128" s="163">
        <v>104.94</v>
      </c>
      <c r="C128" s="163">
        <v>112.43</v>
      </c>
      <c r="D128" s="163">
        <v>148.35</v>
      </c>
      <c r="E128" s="163">
        <v>158.41000000000003</v>
      </c>
    </row>
    <row r="129" spans="1:5" x14ac:dyDescent="0.25">
      <c r="A129" t="s">
        <v>84</v>
      </c>
      <c r="B129" s="163">
        <v>39.159999999999997</v>
      </c>
      <c r="C129" s="163">
        <v>44.169999999999995</v>
      </c>
      <c r="D129" s="163">
        <v>51.269999999999996</v>
      </c>
      <c r="E129" s="163">
        <v>59.819999999999993</v>
      </c>
    </row>
    <row r="130" spans="1:5" x14ac:dyDescent="0.25">
      <c r="A130" t="s">
        <v>85</v>
      </c>
      <c r="B130" s="163">
        <v>12.46</v>
      </c>
      <c r="C130" s="163">
        <v>18.319999999999986</v>
      </c>
      <c r="D130" s="163">
        <v>27.879999999999995</v>
      </c>
      <c r="E130" s="163">
        <v>38.81</v>
      </c>
    </row>
    <row r="131" spans="1:5" x14ac:dyDescent="0.25">
      <c r="A131" t="s">
        <v>86</v>
      </c>
      <c r="B131" s="163">
        <v>1.2303142329020333</v>
      </c>
      <c r="C131" s="163">
        <v>1.3090418353576248</v>
      </c>
      <c r="D131" s="163">
        <v>1.3130825379000564</v>
      </c>
      <c r="E131" s="163">
        <v>1.4237824852587904</v>
      </c>
    </row>
    <row r="132" spans="1:5" x14ac:dyDescent="0.25">
      <c r="A132" t="s">
        <v>87</v>
      </c>
      <c r="B132" s="163">
        <v>0.78728294177732383</v>
      </c>
      <c r="C132" s="163">
        <v>0.9846049354765678</v>
      </c>
      <c r="D132" s="163">
        <v>1.5219426565242833</v>
      </c>
      <c r="E132" s="163">
        <v>1.2873620862587765</v>
      </c>
    </row>
    <row r="133" spans="1:5" x14ac:dyDescent="0.25">
      <c r="A133" t="s">
        <v>277</v>
      </c>
      <c r="B133" s="163"/>
      <c r="C133" s="163"/>
      <c r="D133" s="163"/>
      <c r="E133" s="163"/>
    </row>
    <row r="134" spans="1:5" x14ac:dyDescent="0.25">
      <c r="A134" t="s">
        <v>278</v>
      </c>
      <c r="B134" s="163"/>
      <c r="C134" s="163"/>
      <c r="D134" s="163"/>
      <c r="E134" s="163"/>
    </row>
    <row r="135" spans="1:5" x14ac:dyDescent="0.25">
      <c r="A135" t="s">
        <v>340</v>
      </c>
      <c r="B135" s="163"/>
      <c r="C135" s="163"/>
      <c r="D135" s="163"/>
      <c r="E135" s="163"/>
    </row>
    <row r="136" spans="1:5" x14ac:dyDescent="0.25">
      <c r="B136" s="163"/>
      <c r="C136" s="163"/>
      <c r="D136" s="163"/>
      <c r="E136" s="163"/>
    </row>
    <row r="137" spans="1:5" x14ac:dyDescent="0.25">
      <c r="A137" t="s">
        <v>83</v>
      </c>
      <c r="B137" s="163">
        <v>0</v>
      </c>
      <c r="C137" s="163">
        <v>0</v>
      </c>
      <c r="D137" s="163">
        <v>0</v>
      </c>
      <c r="E137" s="163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K74"/>
  <sheetViews>
    <sheetView topLeftCell="A32" zoomScale="175" zoomScaleNormal="175" zoomScaleSheetLayoutView="100" workbookViewId="0">
      <selection activeCell="F21" sqref="F21"/>
    </sheetView>
  </sheetViews>
  <sheetFormatPr defaultColWidth="9.140625" defaultRowHeight="12.75" x14ac:dyDescent="0.2"/>
  <cols>
    <col min="1" max="1" width="44.42578125" style="35" bestFit="1" customWidth="1"/>
    <col min="2" max="4" width="10.7109375" style="112" hidden="1" customWidth="1"/>
    <col min="5" max="5" width="11.28515625" style="112" bestFit="1" customWidth="1"/>
    <col min="6" max="6" width="12.7109375" style="112" bestFit="1" customWidth="1"/>
    <col min="7" max="9" width="12.7109375" style="141" bestFit="1" customWidth="1"/>
    <col min="10" max="16384" width="9.140625" style="35"/>
  </cols>
  <sheetData>
    <row r="1" spans="1:11" ht="14.25" x14ac:dyDescent="0.2">
      <c r="A1" s="171" t="str">
        <f>+'Data Input'!B5</f>
        <v>Punjab National Bank</v>
      </c>
      <c r="B1" s="171"/>
      <c r="C1" s="171"/>
      <c r="D1" s="171"/>
      <c r="E1" s="171"/>
      <c r="F1" s="172"/>
      <c r="G1" s="40"/>
      <c r="H1" s="40"/>
      <c r="I1" s="40"/>
    </row>
    <row r="2" spans="1:11" ht="14.25" x14ac:dyDescent="0.2">
      <c r="A2" s="171" t="str">
        <f>+'Data Input'!B6</f>
        <v>MCC Durgapur</v>
      </c>
      <c r="B2" s="171"/>
      <c r="C2" s="171"/>
      <c r="D2" s="171"/>
      <c r="E2" s="171"/>
      <c r="F2" s="172"/>
      <c r="G2" s="40"/>
      <c r="H2" s="40"/>
      <c r="I2" s="40"/>
    </row>
    <row r="3" spans="1:11" ht="14.25" x14ac:dyDescent="0.2">
      <c r="A3" s="171" t="str">
        <f>+'Data Input'!B7</f>
        <v>Durgapur</v>
      </c>
      <c r="B3" s="171"/>
      <c r="C3" s="171"/>
      <c r="D3" s="171"/>
      <c r="E3" s="171"/>
      <c r="F3" s="172"/>
      <c r="G3" s="40"/>
      <c r="H3" s="40"/>
      <c r="I3" s="40"/>
    </row>
    <row r="4" spans="1:11" x14ac:dyDescent="0.2">
      <c r="A4" s="173" t="str">
        <f>+'Data Input'!B4</f>
        <v>H R Ispat Pvt Ltd</v>
      </c>
      <c r="B4" s="109" t="str">
        <f>IF('Data Input'!E10="", "", 'Data Input'!E10)</f>
        <v>Audited</v>
      </c>
      <c r="C4" s="109" t="str">
        <f>IF('Data Input'!F10="", "", 'Data Input'!F10)</f>
        <v>Audited</v>
      </c>
      <c r="D4" s="109" t="str">
        <f>IF('Data Input'!G10="", "", 'Data Input'!G10)</f>
        <v>Audited</v>
      </c>
      <c r="E4" s="109" t="str">
        <f>IF('Data Input'!H10="", "", 'Data Input'!H10)</f>
        <v>Audited</v>
      </c>
      <c r="F4" s="126" t="str">
        <f>IF('Data Input'!I10="", "", 'Data Input'!I10)</f>
        <v>Audited</v>
      </c>
      <c r="G4" s="110" t="str">
        <f>IF('Data Input'!J10="", "", 'Data Input'!J10)</f>
        <v>Audited</v>
      </c>
      <c r="H4" s="110" t="str">
        <f>IF('Data Input'!K10="", "", 'Data Input'!K10)</f>
        <v>Projected</v>
      </c>
      <c r="I4" s="110" t="str">
        <f>IF('Data Input'!L10="", "", 'Data Input'!L10)</f>
        <v>Projected</v>
      </c>
    </row>
    <row r="5" spans="1:11" x14ac:dyDescent="0.2">
      <c r="A5" s="174"/>
      <c r="B5" s="113">
        <f>IF('Data Input'!E11="", "", 'Data Input'!E11)</f>
        <v>2019</v>
      </c>
      <c r="C5" s="113">
        <f>IF('Data Input'!F11="", "", 'Data Input'!F11)</f>
        <v>2020</v>
      </c>
      <c r="D5" s="113">
        <f>IF('Data Input'!G11="", "", 'Data Input'!G11)</f>
        <v>2021</v>
      </c>
      <c r="E5" s="113">
        <f>IF('Data Input'!H11="", "", 'Data Input'!H11)</f>
        <v>2022</v>
      </c>
      <c r="F5" s="127">
        <f>IF('Data Input'!I11="", "", 'Data Input'!I11)</f>
        <v>2023</v>
      </c>
      <c r="G5" s="113">
        <f>IF('Data Input'!J11="", "", 'Data Input'!J11)</f>
        <v>2024</v>
      </c>
      <c r="H5" s="113">
        <f>IF('Data Input'!K11="", "", 'Data Input'!K11)</f>
        <v>2025</v>
      </c>
      <c r="I5" s="113">
        <f>IF('Data Input'!L11="", "", 'Data Input'!L11)</f>
        <v>2026</v>
      </c>
    </row>
    <row r="6" spans="1:11" x14ac:dyDescent="0.2">
      <c r="A6" s="38" t="s">
        <v>208</v>
      </c>
      <c r="B6" s="111"/>
      <c r="C6" s="111"/>
      <c r="D6" s="111"/>
      <c r="E6" s="111"/>
      <c r="F6" s="128"/>
      <c r="G6" s="111"/>
      <c r="H6" s="111"/>
      <c r="I6" s="111"/>
    </row>
    <row r="7" spans="1:11" x14ac:dyDescent="0.2">
      <c r="A7" s="40" t="s">
        <v>189</v>
      </c>
      <c r="B7" s="111">
        <f>'Data Input'!E12</f>
        <v>0</v>
      </c>
      <c r="C7" s="111">
        <f>'Data Input'!F12</f>
        <v>0</v>
      </c>
      <c r="D7" s="111">
        <f>'Data Input'!G12</f>
        <v>0</v>
      </c>
      <c r="E7" s="111">
        <f>'Data Input'!H12</f>
        <v>0</v>
      </c>
      <c r="F7" s="128">
        <f>'Data Input'!I12</f>
        <v>564.38</v>
      </c>
      <c r="G7" s="111">
        <f>'Data Input'!J12</f>
        <v>471.12</v>
      </c>
      <c r="H7" s="111">
        <f>'Data Input'!K12</f>
        <v>528.88</v>
      </c>
      <c r="I7" s="111">
        <f>'Data Input'!L12</f>
        <v>603.94000000000005</v>
      </c>
    </row>
    <row r="8" spans="1:11" x14ac:dyDescent="0.2">
      <c r="A8" s="40" t="s">
        <v>190</v>
      </c>
      <c r="B8" s="111">
        <f>'Data Input'!E18</f>
        <v>0</v>
      </c>
      <c r="C8" s="111">
        <f>'Data Input'!F18</f>
        <v>0</v>
      </c>
      <c r="D8" s="111">
        <f>'Data Input'!G18</f>
        <v>0</v>
      </c>
      <c r="E8" s="111">
        <f>'Data Input'!H18</f>
        <v>0</v>
      </c>
      <c r="F8" s="128">
        <f>'Data Input'!I18</f>
        <v>564.38</v>
      </c>
      <c r="G8" s="111">
        <f>'Data Input'!J18</f>
        <v>471.12</v>
      </c>
      <c r="H8" s="111">
        <f>'Data Input'!K18</f>
        <v>528.88</v>
      </c>
      <c r="I8" s="111">
        <f>'Data Input'!L18</f>
        <v>603.94000000000005</v>
      </c>
      <c r="J8" s="125"/>
      <c r="K8" s="125"/>
    </row>
    <row r="9" spans="1:11" x14ac:dyDescent="0.2">
      <c r="A9" s="40" t="s">
        <v>2</v>
      </c>
      <c r="B9" s="111">
        <f>'Data Input'!E13</f>
        <v>0</v>
      </c>
      <c r="C9" s="111">
        <f>'Data Input'!F13</f>
        <v>0</v>
      </c>
      <c r="D9" s="111">
        <f>'Data Input'!G13</f>
        <v>0</v>
      </c>
      <c r="E9" s="111">
        <f>'Data Input'!H13</f>
        <v>0</v>
      </c>
      <c r="F9" s="128">
        <f>'Data Input'!I13</f>
        <v>564.38</v>
      </c>
      <c r="G9" s="111">
        <f>'Data Input'!J13</f>
        <v>471.12</v>
      </c>
      <c r="H9" s="111">
        <f>'Data Input'!K13</f>
        <v>528.88</v>
      </c>
      <c r="I9" s="111">
        <f>'Data Input'!L13</f>
        <v>603.94000000000005</v>
      </c>
    </row>
    <row r="10" spans="1:11" x14ac:dyDescent="0.2">
      <c r="A10" s="40" t="s">
        <v>191</v>
      </c>
      <c r="B10" s="111">
        <f>'Data Input'!E14</f>
        <v>0</v>
      </c>
      <c r="C10" s="111">
        <f>'Data Input'!F14</f>
        <v>0</v>
      </c>
      <c r="D10" s="111">
        <f>'Data Input'!G14</f>
        <v>0</v>
      </c>
      <c r="E10" s="111">
        <f>'Data Input'!H14</f>
        <v>0</v>
      </c>
      <c r="F10" s="128">
        <f>'Data Input'!I14</f>
        <v>0</v>
      </c>
      <c r="G10" s="111">
        <f>'Data Input'!J14</f>
        <v>0</v>
      </c>
      <c r="H10" s="111">
        <f>'Data Input'!K14</f>
        <v>0</v>
      </c>
      <c r="I10" s="111">
        <f>'Data Input'!L14</f>
        <v>0</v>
      </c>
    </row>
    <row r="11" spans="1:11" x14ac:dyDescent="0.2">
      <c r="A11" s="39" t="str">
        <f>+'[1]P &amp; L A'!A16</f>
        <v>Total Receipts</v>
      </c>
      <c r="B11" s="111">
        <f>+B7+'Data Input'!E51</f>
        <v>0</v>
      </c>
      <c r="C11" s="111">
        <f>+C7+'Data Input'!F51</f>
        <v>0</v>
      </c>
      <c r="D11" s="111">
        <f>+D7+'Data Input'!G51</f>
        <v>0</v>
      </c>
      <c r="E11" s="111">
        <f>+E7+'Data Input'!H51</f>
        <v>0</v>
      </c>
      <c r="F11" s="128">
        <f>+F7+'Data Input'!I51</f>
        <v>564.48</v>
      </c>
      <c r="G11" s="111">
        <f>+G7+'Data Input'!J51</f>
        <v>471.27</v>
      </c>
      <c r="H11" s="111">
        <f>+H7+'Data Input'!K51</f>
        <v>528.88</v>
      </c>
      <c r="I11" s="111">
        <f>+I7+'Data Input'!L51</f>
        <v>603.94000000000005</v>
      </c>
    </row>
    <row r="12" spans="1:11" x14ac:dyDescent="0.2">
      <c r="A12" s="40" t="s">
        <v>269</v>
      </c>
      <c r="B12" s="111">
        <f>B11-'Data Input'!E50+'Data Input'!E52</f>
        <v>0</v>
      </c>
      <c r="C12" s="111">
        <f>C11-'Data Input'!F50+'Data Input'!F52</f>
        <v>0</v>
      </c>
      <c r="D12" s="111">
        <f>D11-'Data Input'!G50+'Data Input'!G52</f>
        <v>0</v>
      </c>
      <c r="E12" s="111">
        <f>E11-'Data Input'!H50+'Data Input'!H52</f>
        <v>0</v>
      </c>
      <c r="F12" s="128">
        <f>F11-'Data Input'!I50+'Data Input'!I52</f>
        <v>554</v>
      </c>
      <c r="G12" s="111">
        <f>G11-'Data Input'!J50+'Data Input'!J52</f>
        <v>464.40999999999997</v>
      </c>
      <c r="H12" s="111">
        <f>H11-'Data Input'!K50+'Data Input'!K52</f>
        <v>519.41999999999985</v>
      </c>
      <c r="I12" s="111">
        <f>I11-'Data Input'!L50+'Data Input'!L52</f>
        <v>592.06000000000006</v>
      </c>
    </row>
    <row r="13" spans="1:11" x14ac:dyDescent="0.2">
      <c r="A13" s="38" t="s">
        <v>193</v>
      </c>
      <c r="B13" s="110">
        <f>'Data Input'!E35</f>
        <v>0</v>
      </c>
      <c r="C13" s="110">
        <f>'Data Input'!F35</f>
        <v>0</v>
      </c>
      <c r="D13" s="110">
        <f>'Data Input'!G35</f>
        <v>0</v>
      </c>
      <c r="E13" s="110">
        <f>'Data Input'!H35</f>
        <v>0</v>
      </c>
      <c r="F13" s="129">
        <f>'Data Input'!I35</f>
        <v>561.03</v>
      </c>
      <c r="G13" s="110">
        <f>'Data Input'!J35</f>
        <v>460.04</v>
      </c>
      <c r="H13" s="110">
        <f>'Data Input'!K35</f>
        <v>522.15</v>
      </c>
      <c r="I13" s="110">
        <f>'Data Input'!L35</f>
        <v>588.71</v>
      </c>
    </row>
    <row r="14" spans="1:11" x14ac:dyDescent="0.2">
      <c r="A14" s="38" t="s">
        <v>194</v>
      </c>
      <c r="B14" s="110">
        <f>'Data Input'!E39</f>
        <v>0</v>
      </c>
      <c r="C14" s="110">
        <f>'Data Input'!F39</f>
        <v>0</v>
      </c>
      <c r="D14" s="110">
        <f>'Data Input'!G39</f>
        <v>0</v>
      </c>
      <c r="E14" s="110">
        <f>'Data Input'!H39</f>
        <v>0</v>
      </c>
      <c r="F14" s="129">
        <f>'Data Input'!I39</f>
        <v>549.53</v>
      </c>
      <c r="G14" s="110">
        <f>'Data Input'!J39</f>
        <v>456.96999999999997</v>
      </c>
      <c r="H14" s="110">
        <f>'Data Input'!K39</f>
        <v>511.44999999999993</v>
      </c>
      <c r="I14" s="110">
        <f>'Data Input'!L39</f>
        <v>583.73</v>
      </c>
    </row>
    <row r="15" spans="1:11" x14ac:dyDescent="0.2">
      <c r="A15" s="38" t="s">
        <v>209</v>
      </c>
      <c r="B15" s="111"/>
      <c r="C15" s="111"/>
      <c r="D15" s="111"/>
      <c r="E15" s="111"/>
      <c r="F15" s="128"/>
      <c r="G15" s="111"/>
      <c r="H15" s="111"/>
      <c r="I15" s="111"/>
    </row>
    <row r="16" spans="1:11" x14ac:dyDescent="0.2">
      <c r="A16" s="40" t="s">
        <v>249</v>
      </c>
      <c r="B16" s="111">
        <f>'Data Input'!E113+'Data Input'!E118</f>
        <v>0</v>
      </c>
      <c r="C16" s="111">
        <f>'Data Input'!F113+'Data Input'!F118</f>
        <v>0</v>
      </c>
      <c r="D16" s="111">
        <f>'Data Input'!G113+'Data Input'!G118</f>
        <v>0</v>
      </c>
      <c r="E16" s="111">
        <f>'Data Input'!H113+'Data Input'!H118</f>
        <v>0</v>
      </c>
      <c r="F16" s="128">
        <f>'Data Input'!I113+'Data Input'!I118</f>
        <v>13.850000000000001</v>
      </c>
      <c r="G16" s="111">
        <f>'Data Input'!J113+'Data Input'!J118</f>
        <v>9.4500000000000011</v>
      </c>
      <c r="H16" s="111">
        <f>'Data Input'!K113+'Data Input'!K118</f>
        <v>21.080000000000002</v>
      </c>
      <c r="I16" s="111">
        <f>'Data Input'!L113+'Data Input'!L118</f>
        <v>24.08</v>
      </c>
    </row>
    <row r="17" spans="1:9" x14ac:dyDescent="0.2">
      <c r="A17" s="40" t="s">
        <v>195</v>
      </c>
      <c r="B17" s="115" t="e">
        <f>(B16*12)/('Data Input'!E21+'Data Input'!E24+'Data Input'!E25)</f>
        <v>#DIV/0!</v>
      </c>
      <c r="C17" s="115" t="e">
        <f>(C16*12)/('Data Input'!F21+'Data Input'!F24+'Data Input'!F25)</f>
        <v>#DIV/0!</v>
      </c>
      <c r="D17" s="115" t="e">
        <f>(D16*12)/('Data Input'!G21+'Data Input'!G24+'Data Input'!G25)</f>
        <v>#DIV/0!</v>
      </c>
      <c r="E17" s="111" t="e">
        <f>E16*12/('Data Input'!H21+'Data Input'!H24+'Data Input'!H25)</f>
        <v>#DIV/0!</v>
      </c>
      <c r="F17" s="128">
        <f>F16*12/('Data Input'!I21+'Data Input'!I24+'Data Input'!I25)</f>
        <v>0.3430269757074158</v>
      </c>
      <c r="G17" s="111">
        <f>G16*12/('Data Input'!J21+'Data Input'!J24+'Data Input'!J25)</f>
        <v>0.28879211551684619</v>
      </c>
      <c r="H17" s="111">
        <f>H16*12/('Data Input'!K21+'Data Input'!K24+'Data Input'!K25)</f>
        <v>0.56756938679351132</v>
      </c>
      <c r="I17" s="111">
        <f>I16*12/('Data Input'!L21+'Data Input'!L24+'Data Input'!L25)</f>
        <v>0.5752393844683773</v>
      </c>
    </row>
    <row r="18" spans="1:9" x14ac:dyDescent="0.2">
      <c r="A18" s="40" t="s">
        <v>250</v>
      </c>
      <c r="B18" s="111">
        <f>'Data Input'!E116</f>
        <v>0</v>
      </c>
      <c r="C18" s="111">
        <f>'Data Input'!F116</f>
        <v>0</v>
      </c>
      <c r="D18" s="111">
        <f>'Data Input'!G116</f>
        <v>0</v>
      </c>
      <c r="E18" s="111">
        <f>'Data Input'!H116</f>
        <v>0</v>
      </c>
      <c r="F18" s="128">
        <f>'Data Input'!I116</f>
        <v>0</v>
      </c>
      <c r="G18" s="111">
        <f>'Data Input'!J116</f>
        <v>0</v>
      </c>
      <c r="H18" s="111">
        <f>'Data Input'!K116</f>
        <v>0</v>
      </c>
      <c r="I18" s="111">
        <f>'Data Input'!L116</f>
        <v>0</v>
      </c>
    </row>
    <row r="19" spans="1:9" x14ac:dyDescent="0.2">
      <c r="A19" s="40" t="s">
        <v>196</v>
      </c>
      <c r="B19" s="111" t="e">
        <f t="shared" ref="B19:C19" si="0">B18*12/B13</f>
        <v>#DIV/0!</v>
      </c>
      <c r="C19" s="111" t="e">
        <f t="shared" si="0"/>
        <v>#DIV/0!</v>
      </c>
      <c r="D19" s="111" t="e">
        <f>D18*12/D13</f>
        <v>#DIV/0!</v>
      </c>
      <c r="E19" s="111" t="e">
        <f t="shared" ref="E19:F19" si="1">E18*12/E13</f>
        <v>#DIV/0!</v>
      </c>
      <c r="F19" s="128">
        <f t="shared" si="1"/>
        <v>0</v>
      </c>
      <c r="G19" s="111">
        <f t="shared" ref="G19:H19" si="2">G18*12/G13</f>
        <v>0</v>
      </c>
      <c r="H19" s="111">
        <f t="shared" si="2"/>
        <v>0</v>
      </c>
      <c r="I19" s="111">
        <f t="shared" ref="I19" si="3">I18*12/I13</f>
        <v>0</v>
      </c>
    </row>
    <row r="20" spans="1:9" x14ac:dyDescent="0.2">
      <c r="A20" s="40" t="s">
        <v>251</v>
      </c>
      <c r="B20" s="111">
        <f>'Data Input'!E117</f>
        <v>0</v>
      </c>
      <c r="C20" s="111">
        <f>'Data Input'!F117</f>
        <v>0</v>
      </c>
      <c r="D20" s="111">
        <f>'Data Input'!G117</f>
        <v>0</v>
      </c>
      <c r="E20" s="111">
        <f>'Data Input'!H117</f>
        <v>0</v>
      </c>
      <c r="F20" s="128">
        <f>'Data Input'!I117</f>
        <v>22.59</v>
      </c>
      <c r="G20" s="111">
        <f>'Data Input'!J117</f>
        <v>25.66</v>
      </c>
      <c r="H20" s="111">
        <f>'Data Input'!K117</f>
        <v>36.36</v>
      </c>
      <c r="I20" s="111">
        <f>'Data Input'!L117</f>
        <v>41.34</v>
      </c>
    </row>
    <row r="21" spans="1:9" x14ac:dyDescent="0.2">
      <c r="A21" s="40" t="s">
        <v>197</v>
      </c>
      <c r="B21" s="111" t="e">
        <f t="shared" ref="B21:C21" si="4">B20*12/B14</f>
        <v>#DIV/0!</v>
      </c>
      <c r="C21" s="111" t="e">
        <f t="shared" si="4"/>
        <v>#DIV/0!</v>
      </c>
      <c r="D21" s="111" t="e">
        <f>D20*12/D14</f>
        <v>#DIV/0!</v>
      </c>
      <c r="E21" s="111" t="e">
        <f t="shared" ref="E21:F21" si="5">E20*12/E14</f>
        <v>#DIV/0!</v>
      </c>
      <c r="F21" s="128">
        <f t="shared" si="5"/>
        <v>0.49329426964860879</v>
      </c>
      <c r="G21" s="111">
        <f t="shared" ref="G21:H21" si="6">G20*12/G14</f>
        <v>0.67382979189005854</v>
      </c>
      <c r="H21" s="111">
        <f t="shared" si="6"/>
        <v>0.85310392022680626</v>
      </c>
      <c r="I21" s="111">
        <f t="shared" ref="I21" si="7">I20*12/I14</f>
        <v>0.84984496256831077</v>
      </c>
    </row>
    <row r="22" spans="1:9" x14ac:dyDescent="0.2">
      <c r="A22" s="40" t="s">
        <v>252</v>
      </c>
      <c r="B22" s="111">
        <f>'Data Input'!E110+'Data Input'!E129</f>
        <v>0</v>
      </c>
      <c r="C22" s="111">
        <f>'Data Input'!F110+'Data Input'!F129</f>
        <v>0</v>
      </c>
      <c r="D22" s="111">
        <f>'Data Input'!G110+'Data Input'!G129</f>
        <v>0</v>
      </c>
      <c r="E22" s="111">
        <f>'Data Input'!H110+'Data Input'!H129</f>
        <v>0</v>
      </c>
      <c r="F22" s="128">
        <f>'Data Input'!I110+'Data Input'!I129</f>
        <v>18.809999999999999</v>
      </c>
      <c r="G22" s="111">
        <f>'Data Input'!J110+'Data Input'!J129</f>
        <v>30.67</v>
      </c>
      <c r="H22" s="111">
        <f>'Data Input'!K110+'Data Input'!K129</f>
        <v>37.04</v>
      </c>
      <c r="I22" s="111">
        <f>'Data Input'!L110+'Data Input'!L129</f>
        <v>42.29</v>
      </c>
    </row>
    <row r="23" spans="1:9" x14ac:dyDescent="0.2">
      <c r="A23" s="40" t="s">
        <v>198</v>
      </c>
      <c r="B23" s="111" t="e">
        <f t="shared" ref="B23:C23" si="8">B22*12/B9</f>
        <v>#DIV/0!</v>
      </c>
      <c r="C23" s="111" t="e">
        <f t="shared" si="8"/>
        <v>#DIV/0!</v>
      </c>
      <c r="D23" s="111" t="e">
        <f>D22*12/D9</f>
        <v>#DIV/0!</v>
      </c>
      <c r="E23" s="111" t="e">
        <f t="shared" ref="E23:F23" si="9">E22*12/E9</f>
        <v>#DIV/0!</v>
      </c>
      <c r="F23" s="128">
        <f t="shared" si="9"/>
        <v>0.39994330061306205</v>
      </c>
      <c r="G23" s="111">
        <f t="shared" ref="G23:H23" si="10">G22*12/G9</f>
        <v>0.78120224146714212</v>
      </c>
      <c r="H23" s="111">
        <f t="shared" si="10"/>
        <v>0.84041748600816824</v>
      </c>
      <c r="I23" s="111">
        <f t="shared" ref="I23" si="11">I22*12/I9</f>
        <v>0.84028214723316885</v>
      </c>
    </row>
    <row r="24" spans="1:9" x14ac:dyDescent="0.2">
      <c r="A24" s="38" t="s">
        <v>253</v>
      </c>
      <c r="B24" s="111">
        <f>'Data Input'!E111</f>
        <v>0</v>
      </c>
      <c r="C24" s="111">
        <f>'Data Input'!F111</f>
        <v>0</v>
      </c>
      <c r="D24" s="111">
        <f>'Data Input'!G111</f>
        <v>0</v>
      </c>
      <c r="E24" s="111">
        <f>'Data Input'!H111</f>
        <v>0</v>
      </c>
      <c r="F24" s="128">
        <f>'Data Input'!I111</f>
        <v>0</v>
      </c>
      <c r="G24" s="111">
        <f>'Data Input'!J111</f>
        <v>0</v>
      </c>
      <c r="H24" s="111">
        <f>'Data Input'!K111</f>
        <v>0</v>
      </c>
      <c r="I24" s="111">
        <f>'Data Input'!L111</f>
        <v>0</v>
      </c>
    </row>
    <row r="25" spans="1:9" x14ac:dyDescent="0.2">
      <c r="A25" s="40" t="s">
        <v>199</v>
      </c>
      <c r="B25" s="111" t="e">
        <f t="shared" ref="B25:C25" si="12">B24*12/B10</f>
        <v>#DIV/0!</v>
      </c>
      <c r="C25" s="111" t="e">
        <f t="shared" si="12"/>
        <v>#DIV/0!</v>
      </c>
      <c r="D25" s="111" t="e">
        <f>D24*12/D10</f>
        <v>#DIV/0!</v>
      </c>
      <c r="E25" s="111" t="e">
        <f t="shared" ref="E25:F25" si="13">E24*12/E10</f>
        <v>#DIV/0!</v>
      </c>
      <c r="F25" s="128" t="e">
        <f t="shared" si="13"/>
        <v>#DIV/0!</v>
      </c>
      <c r="G25" s="111" t="e">
        <f t="shared" ref="G25:H25" si="14">G24*12/G10</f>
        <v>#DIV/0!</v>
      </c>
      <c r="H25" s="111" t="e">
        <f t="shared" si="14"/>
        <v>#DIV/0!</v>
      </c>
      <c r="I25" s="111" t="e">
        <f t="shared" ref="I25" si="15">I24*12/I10</f>
        <v>#DIV/0!</v>
      </c>
    </row>
    <row r="26" spans="1:9" x14ac:dyDescent="0.2">
      <c r="A26" s="40" t="s">
        <v>254</v>
      </c>
      <c r="B26" s="111">
        <f>'Data Input'!E119+'Data Input'!E120</f>
        <v>0</v>
      </c>
      <c r="C26" s="111">
        <f>'Data Input'!F119+'Data Input'!F120</f>
        <v>0</v>
      </c>
      <c r="D26" s="111">
        <f>'Data Input'!G119+'Data Input'!G120</f>
        <v>0</v>
      </c>
      <c r="E26" s="111">
        <f>'Data Input'!H119+'Data Input'!H120</f>
        <v>0</v>
      </c>
      <c r="F26" s="128">
        <f>'Data Input'!I119+'Data Input'!I120</f>
        <v>8.5</v>
      </c>
      <c r="G26" s="111">
        <f>'Data Input'!J119+'Data Input'!J120</f>
        <v>6.8</v>
      </c>
      <c r="H26" s="111">
        <f>'Data Input'!K119+'Data Input'!K120</f>
        <v>16.28</v>
      </c>
      <c r="I26" s="111">
        <f>'Data Input'!L119+'Data Input'!L120</f>
        <v>10.52</v>
      </c>
    </row>
    <row r="27" spans="1:9" x14ac:dyDescent="0.2">
      <c r="A27" s="41" t="s">
        <v>255</v>
      </c>
      <c r="B27" s="111">
        <f>'Data Input'!E121+'Data Input'!E105+'Data Input'!E106</f>
        <v>0</v>
      </c>
      <c r="C27" s="111">
        <f>'Data Input'!F121+'Data Input'!F105+'Data Input'!F106</f>
        <v>0</v>
      </c>
      <c r="D27" s="111">
        <f>'Data Input'!G121+'Data Input'!G105+'Data Input'!G106</f>
        <v>0</v>
      </c>
      <c r="E27" s="111">
        <f>'Data Input'!H121+'Data Input'!H105+'Data Input'!H106</f>
        <v>0</v>
      </c>
      <c r="F27" s="128">
        <f>'Data Input'!I121+'Data Input'!I105+'Data Input'!I106</f>
        <v>2.81</v>
      </c>
      <c r="G27" s="111">
        <f>'Data Input'!J121+'Data Input'!J105+'Data Input'!J106</f>
        <v>5.0199999999999996</v>
      </c>
      <c r="H27" s="111">
        <f>'Data Input'!K121+'Data Input'!K105+'Data Input'!K106</f>
        <v>6.17</v>
      </c>
      <c r="I27" s="111">
        <f>'Data Input'!L121+'Data Input'!L105+'Data Input'!L106</f>
        <v>12.16</v>
      </c>
    </row>
    <row r="28" spans="1:9" x14ac:dyDescent="0.2">
      <c r="A28" s="38" t="s">
        <v>200</v>
      </c>
      <c r="B28" s="110">
        <f t="shared" ref="B28:C28" si="16">+B27+B26+B24+B22+B20+B18+B16</f>
        <v>0</v>
      </c>
      <c r="C28" s="110">
        <f t="shared" si="16"/>
        <v>0</v>
      </c>
      <c r="D28" s="110">
        <f>+D27+D26+D24+D22+D20+D18+D16</f>
        <v>0</v>
      </c>
      <c r="E28" s="110">
        <f t="shared" ref="E28:F28" si="17">+E27+E26+E24+E22+E20+E18+E16</f>
        <v>0</v>
      </c>
      <c r="F28" s="129">
        <f t="shared" si="17"/>
        <v>66.56</v>
      </c>
      <c r="G28" s="110">
        <f t="shared" ref="G28:H28" si="18">+G27+G26+G24+G22+G20+G18+G16</f>
        <v>77.600000000000009</v>
      </c>
      <c r="H28" s="110">
        <f t="shared" si="18"/>
        <v>116.92999999999999</v>
      </c>
      <c r="I28" s="110">
        <f t="shared" ref="I28" si="19">+I27+I26+I24+I22+I20+I18+I16</f>
        <v>130.38999999999999</v>
      </c>
    </row>
    <row r="29" spans="1:9" x14ac:dyDescent="0.2">
      <c r="A29" s="38" t="s">
        <v>210</v>
      </c>
      <c r="B29" s="111"/>
      <c r="C29" s="111"/>
      <c r="D29" s="111"/>
      <c r="E29" s="111"/>
      <c r="F29" s="128"/>
      <c r="G29" s="111"/>
      <c r="H29" s="111"/>
      <c r="I29" s="111"/>
    </row>
    <row r="30" spans="1:9" x14ac:dyDescent="0.2">
      <c r="A30" s="40" t="s">
        <v>201</v>
      </c>
      <c r="B30" s="111">
        <f>'Data Input'!E113</f>
        <v>0</v>
      </c>
      <c r="C30" s="111">
        <f>'Data Input'!F113</f>
        <v>0</v>
      </c>
      <c r="D30" s="111">
        <f>'Data Input'!G113</f>
        <v>0</v>
      </c>
      <c r="E30" s="111">
        <f>'Data Input'!H113</f>
        <v>0</v>
      </c>
      <c r="F30" s="128">
        <f>'Data Input'!I113</f>
        <v>13.38</v>
      </c>
      <c r="G30" s="111">
        <f>'Data Input'!J113</f>
        <v>8.9700000000000006</v>
      </c>
      <c r="H30" s="111">
        <f>'Data Input'!K113</f>
        <v>20.100000000000001</v>
      </c>
      <c r="I30" s="111">
        <f>'Data Input'!L113</f>
        <v>22.97</v>
      </c>
    </row>
    <row r="31" spans="1:9" x14ac:dyDescent="0.2">
      <c r="A31" s="40" t="s">
        <v>202</v>
      </c>
      <c r="B31" s="111">
        <f>'Data Input'!E118</f>
        <v>0</v>
      </c>
      <c r="C31" s="111">
        <f>'Data Input'!F118</f>
        <v>0</v>
      </c>
      <c r="D31" s="111">
        <f>'Data Input'!G118</f>
        <v>0</v>
      </c>
      <c r="E31" s="111">
        <f>'Data Input'!H118</f>
        <v>0</v>
      </c>
      <c r="F31" s="128">
        <f>'Data Input'!I118</f>
        <v>0.47</v>
      </c>
      <c r="G31" s="111">
        <f>'Data Input'!J118</f>
        <v>0.48</v>
      </c>
      <c r="H31" s="111">
        <f>'Data Input'!K118</f>
        <v>0.98</v>
      </c>
      <c r="I31" s="111">
        <f>'Data Input'!L118</f>
        <v>1.1100000000000001</v>
      </c>
    </row>
    <row r="32" spans="1:9" x14ac:dyDescent="0.2">
      <c r="A32" s="40" t="s">
        <v>203</v>
      </c>
      <c r="B32" s="111">
        <f>'Data Input'!E116</f>
        <v>0</v>
      </c>
      <c r="C32" s="111">
        <f>'Data Input'!F116</f>
        <v>0</v>
      </c>
      <c r="D32" s="111">
        <f>'Data Input'!G116</f>
        <v>0</v>
      </c>
      <c r="E32" s="111">
        <f>'Data Input'!H116</f>
        <v>0</v>
      </c>
      <c r="F32" s="128">
        <f>'Data Input'!I116</f>
        <v>0</v>
      </c>
      <c r="G32" s="111">
        <f>'Data Input'!J116</f>
        <v>0</v>
      </c>
      <c r="H32" s="111">
        <f>'Data Input'!K116</f>
        <v>0</v>
      </c>
      <c r="I32" s="111">
        <f>'Data Input'!L116</f>
        <v>0</v>
      </c>
    </row>
    <row r="33" spans="1:9" x14ac:dyDescent="0.2">
      <c r="A33" s="40" t="s">
        <v>204</v>
      </c>
      <c r="B33" s="111">
        <f>'Data Input'!E117</f>
        <v>0</v>
      </c>
      <c r="C33" s="111">
        <f>'Data Input'!F117</f>
        <v>0</v>
      </c>
      <c r="D33" s="111">
        <f>'Data Input'!G117</f>
        <v>0</v>
      </c>
      <c r="E33" s="111">
        <f>'Data Input'!H117</f>
        <v>0</v>
      </c>
      <c r="F33" s="128">
        <f>'Data Input'!I117</f>
        <v>22.59</v>
      </c>
      <c r="G33" s="111">
        <f>'Data Input'!J117</f>
        <v>25.66</v>
      </c>
      <c r="H33" s="111">
        <f>'Data Input'!K117</f>
        <v>36.36</v>
      </c>
      <c r="I33" s="111">
        <f>'Data Input'!L117</f>
        <v>41.34</v>
      </c>
    </row>
    <row r="34" spans="1:9" x14ac:dyDescent="0.2">
      <c r="A34" s="38" t="s">
        <v>205</v>
      </c>
      <c r="B34" s="110">
        <f t="shared" ref="B34:C34" si="20">SUM(B30:B33)</f>
        <v>0</v>
      </c>
      <c r="C34" s="110">
        <f t="shared" si="20"/>
        <v>0</v>
      </c>
      <c r="D34" s="110">
        <f>SUM(D30:D33)</f>
        <v>0</v>
      </c>
      <c r="E34" s="110">
        <f t="shared" ref="E34:F34" si="21">SUM(E30:E33)</f>
        <v>0</v>
      </c>
      <c r="F34" s="129">
        <f t="shared" si="21"/>
        <v>36.44</v>
      </c>
      <c r="G34" s="110">
        <f t="shared" ref="G34:H34" si="22">SUM(G30:G33)</f>
        <v>35.11</v>
      </c>
      <c r="H34" s="110">
        <f t="shared" si="22"/>
        <v>57.44</v>
      </c>
      <c r="I34" s="110">
        <f t="shared" ref="I34" si="23">SUM(I30:I33)</f>
        <v>65.42</v>
      </c>
    </row>
    <row r="35" spans="1:9" x14ac:dyDescent="0.2">
      <c r="A35" s="40" t="s">
        <v>256</v>
      </c>
      <c r="B35" s="110">
        <f t="shared" ref="B35:C35" si="24">B22+B24</f>
        <v>0</v>
      </c>
      <c r="C35" s="110">
        <f t="shared" si="24"/>
        <v>0</v>
      </c>
      <c r="D35" s="110">
        <f>D22+D24</f>
        <v>0</v>
      </c>
      <c r="E35" s="110">
        <f t="shared" ref="E35:F35" si="25">E22+E24</f>
        <v>0</v>
      </c>
      <c r="F35" s="129">
        <f t="shared" si="25"/>
        <v>18.809999999999999</v>
      </c>
      <c r="G35" s="110">
        <f t="shared" ref="G35:H35" si="26">G22+G24</f>
        <v>30.67</v>
      </c>
      <c r="H35" s="110">
        <f t="shared" si="26"/>
        <v>37.04</v>
      </c>
      <c r="I35" s="110">
        <f t="shared" ref="I35" si="27">I22+I24</f>
        <v>42.29</v>
      </c>
    </row>
    <row r="36" spans="1:9" x14ac:dyDescent="0.2">
      <c r="A36" s="40" t="s">
        <v>206</v>
      </c>
      <c r="B36" s="111" t="e">
        <f t="shared" ref="B36:C36" si="28">B35*12/(B9+B10)</f>
        <v>#DIV/0!</v>
      </c>
      <c r="C36" s="111" t="e">
        <f t="shared" si="28"/>
        <v>#DIV/0!</v>
      </c>
      <c r="D36" s="111" t="e">
        <f>D35*12/(D9+D10)</f>
        <v>#DIV/0!</v>
      </c>
      <c r="E36" s="111" t="e">
        <f t="shared" ref="E36:F36" si="29">E35*12/(E9+E10)</f>
        <v>#DIV/0!</v>
      </c>
      <c r="F36" s="128">
        <f t="shared" si="29"/>
        <v>0.39994330061306205</v>
      </c>
      <c r="G36" s="111">
        <f t="shared" ref="G36:H36" si="30">G35*12/(G9+G10)</f>
        <v>0.78120224146714212</v>
      </c>
      <c r="H36" s="111">
        <f t="shared" si="30"/>
        <v>0.84041748600816824</v>
      </c>
      <c r="I36" s="111">
        <f t="shared" ref="I36" si="31">I35*12/(I9+I10)</f>
        <v>0.84028214723316885</v>
      </c>
    </row>
    <row r="37" spans="1:9" x14ac:dyDescent="0.2">
      <c r="A37" s="38" t="s">
        <v>207</v>
      </c>
      <c r="B37" s="111"/>
      <c r="C37" s="111"/>
      <c r="D37" s="111"/>
      <c r="E37" s="111"/>
      <c r="F37" s="128"/>
      <c r="G37" s="111"/>
      <c r="H37" s="111"/>
      <c r="I37" s="111"/>
    </row>
    <row r="38" spans="1:9" x14ac:dyDescent="0.2">
      <c r="A38" s="38" t="s">
        <v>211</v>
      </c>
      <c r="B38" s="111"/>
      <c r="C38" s="111"/>
      <c r="D38" s="111"/>
      <c r="E38" s="111"/>
      <c r="F38" s="128"/>
      <c r="G38" s="111"/>
      <c r="H38" s="111"/>
      <c r="I38" s="111"/>
    </row>
    <row r="39" spans="1:9" x14ac:dyDescent="0.2">
      <c r="A39" s="40" t="s">
        <v>212</v>
      </c>
      <c r="B39" s="111">
        <f>'Data Input'!E105</f>
        <v>0</v>
      </c>
      <c r="C39" s="111">
        <f>'Data Input'!F105</f>
        <v>0</v>
      </c>
      <c r="D39" s="111">
        <f>'Data Input'!G105</f>
        <v>0</v>
      </c>
      <c r="E39" s="111">
        <f>'Data Input'!H105</f>
        <v>0</v>
      </c>
      <c r="F39" s="128">
        <f>'Data Input'!I105</f>
        <v>2.81</v>
      </c>
      <c r="G39" s="111">
        <f>'Data Input'!J105</f>
        <v>5.0199999999999996</v>
      </c>
      <c r="H39" s="111">
        <f>'Data Input'!K105</f>
        <v>6.17</v>
      </c>
      <c r="I39" s="111">
        <f>'Data Input'!L105</f>
        <v>12.16</v>
      </c>
    </row>
    <row r="40" spans="1:9" x14ac:dyDescent="0.2">
      <c r="A40" s="40" t="s">
        <v>213</v>
      </c>
      <c r="B40" s="111">
        <f>'Data Input'!E119</f>
        <v>0</v>
      </c>
      <c r="C40" s="111">
        <f>'Data Input'!F119</f>
        <v>0</v>
      </c>
      <c r="D40" s="111">
        <f>'Data Input'!G119</f>
        <v>0</v>
      </c>
      <c r="E40" s="111">
        <f>'Data Input'!H119</f>
        <v>0</v>
      </c>
      <c r="F40" s="128">
        <f>'Data Input'!I119</f>
        <v>7.57</v>
      </c>
      <c r="G40" s="111">
        <f>'Data Input'!J119</f>
        <v>6.18</v>
      </c>
      <c r="H40" s="111">
        <f>'Data Input'!K119</f>
        <v>0</v>
      </c>
      <c r="I40" s="111">
        <f>'Data Input'!L119</f>
        <v>0</v>
      </c>
    </row>
    <row r="41" spans="1:9" x14ac:dyDescent="0.2">
      <c r="A41" s="40" t="s">
        <v>214</v>
      </c>
      <c r="B41" s="111">
        <f>'Data Input'!E120+'Data Input'!E121+'Data Input'!E106</f>
        <v>0</v>
      </c>
      <c r="C41" s="111">
        <f>'Data Input'!F120+'Data Input'!F121+'Data Input'!F106</f>
        <v>0</v>
      </c>
      <c r="D41" s="111">
        <f>'Data Input'!G120+'Data Input'!G121+'Data Input'!G106</f>
        <v>0</v>
      </c>
      <c r="E41" s="111">
        <f>'Data Input'!H120+'Data Input'!H121+'Data Input'!H106</f>
        <v>0</v>
      </c>
      <c r="F41" s="128">
        <f>'Data Input'!I120+'Data Input'!I121+'Data Input'!I106</f>
        <v>0.92999999999999994</v>
      </c>
      <c r="G41" s="111">
        <f>'Data Input'!J120+'Data Input'!J121+'Data Input'!J106</f>
        <v>0.61999999999999988</v>
      </c>
      <c r="H41" s="111">
        <f>'Data Input'!K120+'Data Input'!K121+'Data Input'!K106</f>
        <v>16.28</v>
      </c>
      <c r="I41" s="111">
        <f>'Data Input'!L120+'Data Input'!L121+'Data Input'!L106</f>
        <v>10.52</v>
      </c>
    </row>
    <row r="42" spans="1:9" x14ac:dyDescent="0.2">
      <c r="A42" s="38" t="s">
        <v>215</v>
      </c>
      <c r="B42" s="110">
        <f t="shared" ref="B42:C42" si="32">SUM(B39:B41)</f>
        <v>0</v>
      </c>
      <c r="C42" s="110">
        <f t="shared" si="32"/>
        <v>0</v>
      </c>
      <c r="D42" s="110">
        <f>SUM(D39:D41)</f>
        <v>0</v>
      </c>
      <c r="E42" s="110">
        <f t="shared" ref="E42:F42" si="33">SUM(E39:E41)</f>
        <v>0</v>
      </c>
      <c r="F42" s="129">
        <f t="shared" si="33"/>
        <v>11.31</v>
      </c>
      <c r="G42" s="110">
        <f t="shared" ref="G42:H42" si="34">SUM(G39:G41)</f>
        <v>11.819999999999999</v>
      </c>
      <c r="H42" s="110">
        <f t="shared" si="34"/>
        <v>22.450000000000003</v>
      </c>
      <c r="I42" s="110">
        <f t="shared" ref="I42" si="35">SUM(I39:I41)</f>
        <v>22.68</v>
      </c>
    </row>
    <row r="43" spans="1:9" x14ac:dyDescent="0.2">
      <c r="A43" s="38" t="s">
        <v>216</v>
      </c>
      <c r="B43" s="111"/>
      <c r="C43" s="111"/>
      <c r="D43" s="111"/>
      <c r="E43" s="111"/>
      <c r="F43" s="111"/>
      <c r="G43" s="111"/>
      <c r="H43" s="111"/>
      <c r="I43" s="111"/>
    </row>
    <row r="44" spans="1:9" x14ac:dyDescent="0.2">
      <c r="A44" s="40" t="s">
        <v>272</v>
      </c>
      <c r="B44" s="111">
        <f>'Data Input'!E75+'Data Input'!E77</f>
        <v>0</v>
      </c>
      <c r="C44" s="111">
        <f>'Data Input'!F75+'Data Input'!F77</f>
        <v>0</v>
      </c>
      <c r="D44" s="111">
        <f>'Data Input'!G75+'Data Input'!G77</f>
        <v>0</v>
      </c>
      <c r="E44" s="111">
        <f>'Data Input'!H75+'Data Input'!H77</f>
        <v>0</v>
      </c>
      <c r="F44" s="128">
        <f>'Data Input'!I75+'Data Input'!I77</f>
        <v>17.22</v>
      </c>
      <c r="G44" s="111">
        <f>'Data Input'!J75+'Data Input'!J77</f>
        <v>10.35</v>
      </c>
      <c r="H44" s="111">
        <f>'Data Input'!K75+'Data Input'!K77</f>
        <v>10.469999999999999</v>
      </c>
      <c r="I44" s="111">
        <f>'Data Input'!L75+'Data Input'!L77</f>
        <v>11.760000000000002</v>
      </c>
    </row>
    <row r="45" spans="1:9" x14ac:dyDescent="0.2">
      <c r="A45" s="40" t="s">
        <v>217</v>
      </c>
      <c r="B45" s="111" t="e">
        <f>B44*12/('Data Input'!E143+'Data Input'!E21-'Data Input'!E142)</f>
        <v>#DIV/0!</v>
      </c>
      <c r="C45" s="111" t="e">
        <f>C44*12/('Data Input'!F143+'Data Input'!F21-'Data Input'!F142)</f>
        <v>#DIV/0!</v>
      </c>
      <c r="D45" s="111" t="e">
        <f>D44*12/('Data Input'!G143+'Data Input'!G21-'Data Input'!G142)</f>
        <v>#DIV/0!</v>
      </c>
      <c r="E45" s="111" t="e">
        <f>E44*12/('Data Input'!H143+'Data Input'!H21-'Data Input'!H142)</f>
        <v>#DIV/0!</v>
      </c>
      <c r="F45" s="128">
        <f>F44*12/('Data Input'!I143+'Data Input'!I21-'Data Input'!I142)</f>
        <v>0.43674176776429807</v>
      </c>
      <c r="G45" s="111">
        <f>G44*12/('Data Input'!J143+'Data Input'!J21-'Data Input'!J142)</f>
        <v>0.3231261544865624</v>
      </c>
      <c r="H45" s="111">
        <f>H44*12/('Data Input'!K143+'Data Input'!K21-'Data Input'!K142)</f>
        <v>0.28824447095530875</v>
      </c>
      <c r="I45" s="111">
        <f>I44*12/('Data Input'!L143+'Data Input'!L21-'Data Input'!L142)</f>
        <v>0.28724963361016126</v>
      </c>
    </row>
    <row r="46" spans="1:9" x14ac:dyDescent="0.2">
      <c r="A46" s="39" t="s">
        <v>223</v>
      </c>
      <c r="B46" s="111">
        <f>'Data Input'!E76</f>
        <v>0</v>
      </c>
      <c r="C46" s="111">
        <f>'Data Input'!F76</f>
        <v>0</v>
      </c>
      <c r="D46" s="111">
        <f>'Data Input'!G76</f>
        <v>0</v>
      </c>
      <c r="E46" s="111">
        <f>'Data Input'!H76</f>
        <v>0</v>
      </c>
      <c r="F46" s="128">
        <f>'Data Input'!I76</f>
        <v>0</v>
      </c>
      <c r="G46" s="111">
        <f>'Data Input'!J76</f>
        <v>0</v>
      </c>
      <c r="H46" s="111">
        <f>'Data Input'!K76</f>
        <v>0</v>
      </c>
      <c r="I46" s="111">
        <f>'Data Input'!L76</f>
        <v>0</v>
      </c>
    </row>
    <row r="47" spans="1:9" x14ac:dyDescent="0.2">
      <c r="A47" s="40" t="s">
        <v>218</v>
      </c>
      <c r="B47" s="111">
        <f>'Data Input'!E78</f>
        <v>0</v>
      </c>
      <c r="C47" s="111">
        <f>'Data Input'!F78</f>
        <v>0</v>
      </c>
      <c r="D47" s="111">
        <f>'Data Input'!G78</f>
        <v>0</v>
      </c>
      <c r="E47" s="111">
        <f>'Data Input'!H78</f>
        <v>0</v>
      </c>
      <c r="F47" s="128">
        <f>'Data Input'!I78</f>
        <v>0</v>
      </c>
      <c r="G47" s="111">
        <f>'Data Input'!J78</f>
        <v>0</v>
      </c>
      <c r="H47" s="111">
        <f>'Data Input'!K78</f>
        <v>0</v>
      </c>
      <c r="I47" s="111">
        <f>'Data Input'!L78</f>
        <v>0</v>
      </c>
    </row>
    <row r="48" spans="1:9" x14ac:dyDescent="0.2">
      <c r="A48" s="40" t="s">
        <v>219</v>
      </c>
      <c r="B48" s="111">
        <f>'Data Input'!E80</f>
        <v>0</v>
      </c>
      <c r="C48" s="111">
        <f>'Data Input'!F80</f>
        <v>0</v>
      </c>
      <c r="D48" s="111">
        <f>'Data Input'!G80</f>
        <v>0</v>
      </c>
      <c r="E48" s="111">
        <f>'Data Input'!H80</f>
        <v>0</v>
      </c>
      <c r="F48" s="128">
        <f>'Data Input'!I80</f>
        <v>0</v>
      </c>
      <c r="G48" s="111">
        <f>'Data Input'!J80</f>
        <v>0</v>
      </c>
      <c r="H48" s="111">
        <f>'Data Input'!K80</f>
        <v>0</v>
      </c>
      <c r="I48" s="111">
        <f>'Data Input'!L80</f>
        <v>0</v>
      </c>
    </row>
    <row r="49" spans="1:9" x14ac:dyDescent="0.2">
      <c r="A49" s="40" t="s">
        <v>273</v>
      </c>
      <c r="B49" s="111">
        <f>'Data Input'!E79</f>
        <v>0</v>
      </c>
      <c r="C49" s="111">
        <f>'Data Input'!F79</f>
        <v>0</v>
      </c>
      <c r="D49" s="111">
        <f>'Data Input'!G79</f>
        <v>0</v>
      </c>
      <c r="E49" s="111">
        <f>'Data Input'!H79</f>
        <v>0</v>
      </c>
      <c r="F49" s="128">
        <f>'Data Input'!I79</f>
        <v>2.42</v>
      </c>
      <c r="G49" s="111">
        <f>'Data Input'!J79</f>
        <v>2.39</v>
      </c>
      <c r="H49" s="111">
        <f>'Data Input'!K79</f>
        <v>1.02</v>
      </c>
      <c r="I49" s="111">
        <f>'Data Input'!L79</f>
        <v>1.02</v>
      </c>
    </row>
    <row r="50" spans="1:9" x14ac:dyDescent="0.2">
      <c r="A50" s="40" t="s">
        <v>221</v>
      </c>
      <c r="B50" s="111">
        <f>'Data Input'!E82</f>
        <v>0</v>
      </c>
      <c r="C50" s="111">
        <f>'Data Input'!F82</f>
        <v>0</v>
      </c>
      <c r="D50" s="111">
        <f>'Data Input'!G82</f>
        <v>0</v>
      </c>
      <c r="E50" s="111">
        <f>'Data Input'!H82</f>
        <v>0</v>
      </c>
      <c r="F50" s="128">
        <f>'Data Input'!I82</f>
        <v>0</v>
      </c>
      <c r="G50" s="111">
        <f>'Data Input'!J82</f>
        <v>0</v>
      </c>
      <c r="H50" s="111">
        <f>'Data Input'!K82</f>
        <v>0</v>
      </c>
      <c r="I50" s="111">
        <f>'Data Input'!L82</f>
        <v>0</v>
      </c>
    </row>
    <row r="51" spans="1:9" x14ac:dyDescent="0.2">
      <c r="A51" s="40" t="s">
        <v>220</v>
      </c>
      <c r="B51" s="111">
        <f>'Data Input'!E83+'Data Input'!E84+'Data Input'!E81</f>
        <v>0</v>
      </c>
      <c r="C51" s="111">
        <f>'Data Input'!F83+'Data Input'!F84+'Data Input'!F81</f>
        <v>0</v>
      </c>
      <c r="D51" s="111">
        <f>'Data Input'!G83+'Data Input'!G84+'Data Input'!G81</f>
        <v>0</v>
      </c>
      <c r="E51" s="111">
        <f>'Data Input'!H83+'Data Input'!H84+'Data Input'!H81</f>
        <v>0</v>
      </c>
      <c r="F51" s="128">
        <f>'Data Input'!I83+'Data Input'!I84+'Data Input'!I81</f>
        <v>15.31</v>
      </c>
      <c r="G51" s="111">
        <f>'Data Input'!J83+'Data Input'!J84+'Data Input'!J81</f>
        <v>12.03</v>
      </c>
      <c r="H51" s="111">
        <f>'Data Input'!K83+'Data Input'!K84+'Data Input'!K81</f>
        <v>7.56</v>
      </c>
      <c r="I51" s="111">
        <f>'Data Input'!L83+'Data Input'!L84+'Data Input'!L81</f>
        <v>8.8000000000000007</v>
      </c>
    </row>
    <row r="52" spans="1:9" x14ac:dyDescent="0.2">
      <c r="A52" s="38" t="s">
        <v>222</v>
      </c>
      <c r="B52" s="110">
        <f t="shared" ref="B52:C52" si="36">SUM(B46:B51)+B44</f>
        <v>0</v>
      </c>
      <c r="C52" s="110">
        <f t="shared" si="36"/>
        <v>0</v>
      </c>
      <c r="D52" s="110">
        <f>SUM(D46:D51)+D44</f>
        <v>0</v>
      </c>
      <c r="E52" s="110">
        <f t="shared" ref="E52:F52" si="37">SUM(E46:E51)+E44</f>
        <v>0</v>
      </c>
      <c r="F52" s="129">
        <f t="shared" si="37"/>
        <v>34.950000000000003</v>
      </c>
      <c r="G52" s="110">
        <f t="shared" ref="G52:H52" si="38">SUM(G46:G51)+G44</f>
        <v>24.77</v>
      </c>
      <c r="H52" s="110">
        <f t="shared" si="38"/>
        <v>19.049999999999997</v>
      </c>
      <c r="I52" s="110">
        <f t="shared" ref="I52" si="39">SUM(I46:I51)+I44</f>
        <v>21.580000000000002</v>
      </c>
    </row>
    <row r="53" spans="1:9" x14ac:dyDescent="0.2">
      <c r="A53" s="38" t="s">
        <v>228</v>
      </c>
      <c r="B53" s="111"/>
      <c r="C53" s="111"/>
      <c r="D53" s="111"/>
      <c r="E53" s="111"/>
      <c r="F53" s="128"/>
      <c r="G53" s="111"/>
      <c r="H53" s="111"/>
      <c r="I53" s="111"/>
    </row>
    <row r="54" spans="1:9" x14ac:dyDescent="0.2">
      <c r="A54" s="37" t="s">
        <v>145</v>
      </c>
      <c r="B54" s="111">
        <f>'Data Input'!E139</f>
        <v>0</v>
      </c>
      <c r="C54" s="111">
        <f>'Data Input'!F139</f>
        <v>0</v>
      </c>
      <c r="D54" s="111">
        <f>'Data Input'!G139</f>
        <v>0</v>
      </c>
      <c r="E54" s="111">
        <f>'Data Input'!H139</f>
        <v>0</v>
      </c>
      <c r="F54" s="128">
        <f>'Data Input'!I139</f>
        <v>12.46</v>
      </c>
      <c r="G54" s="111">
        <f>'Data Input'!J139</f>
        <v>18.319999999999986</v>
      </c>
      <c r="H54" s="111">
        <f>'Data Input'!K139</f>
        <v>27.879999999999995</v>
      </c>
      <c r="I54" s="111">
        <f>'Data Input'!L139</f>
        <v>38.81</v>
      </c>
    </row>
    <row r="55" spans="1:9" x14ac:dyDescent="0.2">
      <c r="A55" s="37" t="s">
        <v>164</v>
      </c>
      <c r="B55" s="111" t="e">
        <f>'Data Input'!E140</f>
        <v>#DIV/0!</v>
      </c>
      <c r="C55" s="111" t="e">
        <f>'Data Input'!F140</f>
        <v>#DIV/0!</v>
      </c>
      <c r="D55" s="111" t="e">
        <f>'Data Input'!G140</f>
        <v>#DIV/0!</v>
      </c>
      <c r="E55" s="111" t="e">
        <f>'Data Input'!H140</f>
        <v>#DIV/0!</v>
      </c>
      <c r="F55" s="128">
        <f>'Data Input'!I140</f>
        <v>1.2303142329020333</v>
      </c>
      <c r="G55" s="111">
        <f>'Data Input'!J140</f>
        <v>1.3090418353576248</v>
      </c>
      <c r="H55" s="111">
        <f>'Data Input'!K140</f>
        <v>1.3130825379000564</v>
      </c>
      <c r="I55" s="111">
        <f>'Data Input'!L140</f>
        <v>1.4237824852587904</v>
      </c>
    </row>
    <row r="56" spans="1:9" x14ac:dyDescent="0.2">
      <c r="A56" s="37" t="s">
        <v>162</v>
      </c>
      <c r="B56" s="111" t="e">
        <f>'Data Input'!E94/'Data Input'!E101</f>
        <v>#DIV/0!</v>
      </c>
      <c r="C56" s="111" t="e">
        <f>'Data Input'!F94/'Data Input'!F101</f>
        <v>#DIV/0!</v>
      </c>
      <c r="D56" s="111" t="e">
        <f>'Data Input'!G94/'Data Input'!G101</f>
        <v>#DIV/0!</v>
      </c>
      <c r="E56" s="111" t="e">
        <f>'Data Input'!H94/'Data Input'!H101</f>
        <v>#DIV/0!</v>
      </c>
      <c r="F56" s="128">
        <f>'Data Input'!I94/'Data Input'!I101</f>
        <v>0.29826353421859042</v>
      </c>
      <c r="G56" s="111">
        <f>'Data Input'!J94/'Data Input'!J101</f>
        <v>0.20330541091238399</v>
      </c>
      <c r="H56" s="111">
        <f>'Data Input'!K94/'Data Input'!K101</f>
        <v>0.15662180612443927</v>
      </c>
      <c r="I56" s="111">
        <f>'Data Input'!L94/'Data Input'!L101</f>
        <v>0.11718488799732532</v>
      </c>
    </row>
    <row r="57" spans="1:9" x14ac:dyDescent="0.2">
      <c r="A57" s="37" t="s">
        <v>163</v>
      </c>
      <c r="B57" s="111" t="e">
        <f>'Data Input'!E95/'Data Input'!E101</f>
        <v>#DIV/0!</v>
      </c>
      <c r="C57" s="111" t="e">
        <f>'Data Input'!F95/'Data Input'!F101</f>
        <v>#DIV/0!</v>
      </c>
      <c r="D57" s="111" t="e">
        <f>'Data Input'!G95/'Data Input'!G101</f>
        <v>#DIV/0!</v>
      </c>
      <c r="E57" s="111" t="e">
        <f>'Data Input'!H95/'Data Input'!H101</f>
        <v>#DIV/0!</v>
      </c>
      <c r="F57" s="128">
        <f>'Data Input'!I95/'Data Input'!I101</f>
        <v>1.6797752808988766</v>
      </c>
      <c r="G57" s="111">
        <f>'Data Input'!J95/'Data Input'!J101</f>
        <v>1.5453928005433555</v>
      </c>
      <c r="H57" s="111">
        <f>'Data Input'!K95/'Data Input'!K101</f>
        <v>1.8935049736688123</v>
      </c>
      <c r="I57" s="111">
        <f>'Data Input'!L95/'Data Input'!L101</f>
        <v>1.648110999665664</v>
      </c>
    </row>
    <row r="58" spans="1:9" x14ac:dyDescent="0.2">
      <c r="A58" s="37" t="s">
        <v>230</v>
      </c>
      <c r="B58" s="111" t="e">
        <f>('Data Input'!E94-'Data Input'!E93)/('Data Input'!E101+'Data Input'!E93)</f>
        <v>#DIV/0!</v>
      </c>
      <c r="C58" s="111" t="e">
        <f>('Data Input'!F94-'Data Input'!F93)/('Data Input'!F101+'Data Input'!F93)</f>
        <v>#DIV/0!</v>
      </c>
      <c r="D58" s="111" t="e">
        <f>('Data Input'!G94-'Data Input'!G93)/('Data Input'!G101+'Data Input'!G93)</f>
        <v>#DIV/0!</v>
      </c>
      <c r="E58" s="111" t="e">
        <f>('Data Input'!H94-'Data Input'!H93)/('Data Input'!H101+'Data Input'!H93)</f>
        <v>#DIV/0!</v>
      </c>
      <c r="F58" s="128">
        <f>('Data Input'!I94-'Data Input'!I93)/('Data Input'!I101+'Data Input'!I93)</f>
        <v>0.29826353421859042</v>
      </c>
      <c r="G58" s="111">
        <f>('Data Input'!J94-'Data Input'!J93)/('Data Input'!J101+'Data Input'!J93)</f>
        <v>0.20330541091238399</v>
      </c>
      <c r="H58" s="111">
        <f>('Data Input'!K94-'Data Input'!K93)/('Data Input'!K101+'Data Input'!K93)</f>
        <v>0.15662180612443927</v>
      </c>
      <c r="I58" s="111">
        <f>('Data Input'!L94-'Data Input'!L93)/('Data Input'!L101+'Data Input'!L93)</f>
        <v>0.11718488799732532</v>
      </c>
    </row>
    <row r="59" spans="1:9" x14ac:dyDescent="0.2">
      <c r="A59" s="37" t="s">
        <v>231</v>
      </c>
      <c r="B59" s="111" t="e">
        <f>('Data Input'!E95-'Data Input'!E93)/('Data Input'!E101+'Data Input'!E93)</f>
        <v>#DIV/0!</v>
      </c>
      <c r="C59" s="111" t="e">
        <f>('Data Input'!F95-'Data Input'!F93)/('Data Input'!F101+'Data Input'!F93)</f>
        <v>#DIV/0!</v>
      </c>
      <c r="D59" s="111" t="e">
        <f>('Data Input'!G95-'Data Input'!G93)/('Data Input'!G101+'Data Input'!G93)</f>
        <v>#DIV/0!</v>
      </c>
      <c r="E59" s="111" t="e">
        <f>('Data Input'!H95-'Data Input'!H93)/('Data Input'!H101+'Data Input'!H93)</f>
        <v>#DIV/0!</v>
      </c>
      <c r="F59" s="128">
        <f>('Data Input'!I95-'Data Input'!I93)/('Data Input'!I101+'Data Input'!I93)</f>
        <v>1.6797752808988766</v>
      </c>
      <c r="G59" s="111">
        <f>('Data Input'!J95-'Data Input'!J93)/('Data Input'!J101+'Data Input'!J93)</f>
        <v>1.5453928005433555</v>
      </c>
      <c r="H59" s="111">
        <f>('Data Input'!K95-'Data Input'!K93)/('Data Input'!K101+'Data Input'!K93)</f>
        <v>1.8935049736688123</v>
      </c>
      <c r="I59" s="111">
        <f>('Data Input'!L95-'Data Input'!L93)/('Data Input'!L101+'Data Input'!L93)</f>
        <v>1.648110999665664</v>
      </c>
    </row>
    <row r="60" spans="1:9" x14ac:dyDescent="0.2">
      <c r="A60" s="38" t="s">
        <v>229</v>
      </c>
      <c r="B60" s="111"/>
      <c r="C60" s="111"/>
      <c r="D60" s="111"/>
      <c r="E60" s="111"/>
      <c r="F60" s="128"/>
      <c r="G60" s="111"/>
      <c r="H60" s="111"/>
      <c r="I60" s="111"/>
    </row>
    <row r="61" spans="1:9" x14ac:dyDescent="0.2">
      <c r="A61" s="40" t="s">
        <v>257</v>
      </c>
      <c r="B61" s="111">
        <f>'Data Input'!E112</f>
        <v>0</v>
      </c>
      <c r="C61" s="111">
        <f>'Data Input'!F112</f>
        <v>0</v>
      </c>
      <c r="D61" s="111">
        <f>'Data Input'!G112</f>
        <v>0</v>
      </c>
      <c r="E61" s="111">
        <f>'Data Input'!H112</f>
        <v>0</v>
      </c>
      <c r="F61" s="128">
        <f>'Data Input'!I112</f>
        <v>36.44</v>
      </c>
      <c r="G61" s="111">
        <f>'Data Input'!J112</f>
        <v>35.11</v>
      </c>
      <c r="H61" s="111">
        <f>'Data Input'!K112</f>
        <v>57.44</v>
      </c>
      <c r="I61" s="111">
        <f>'Data Input'!L112</f>
        <v>65.42</v>
      </c>
    </row>
    <row r="62" spans="1:9" x14ac:dyDescent="0.2">
      <c r="A62" s="40" t="s">
        <v>258</v>
      </c>
      <c r="B62" s="111">
        <f>'Data Input'!E122-'Data Input'!E112-'Data Input'!E109</f>
        <v>0</v>
      </c>
      <c r="C62" s="111">
        <f>'Data Input'!F122-'Data Input'!F112-'Data Input'!F109</f>
        <v>0</v>
      </c>
      <c r="D62" s="111">
        <f>'Data Input'!G122-'Data Input'!G112-'Data Input'!G109</f>
        <v>0</v>
      </c>
      <c r="E62" s="111">
        <f>'Data Input'!H122-'Data Input'!H112-'Data Input'!H109</f>
        <v>0</v>
      </c>
      <c r="F62" s="128">
        <f>'Data Input'!I122-'Data Input'!I112-'Data Input'!I109</f>
        <v>11.310000000000006</v>
      </c>
      <c r="G62" s="111">
        <f>'Data Input'!J122-'Data Input'!J112-'Data Input'!J109</f>
        <v>11.819999999999993</v>
      </c>
      <c r="H62" s="111">
        <f>'Data Input'!K122-'Data Input'!K112-'Data Input'!K109</f>
        <v>22.45000000000001</v>
      </c>
      <c r="I62" s="111">
        <f>'Data Input'!L122-'Data Input'!L112-'Data Input'!L109</f>
        <v>22.680000000000014</v>
      </c>
    </row>
    <row r="63" spans="1:9" x14ac:dyDescent="0.2">
      <c r="A63" s="40" t="s">
        <v>259</v>
      </c>
      <c r="B63" s="111">
        <f>'Data Input'!E110</f>
        <v>0</v>
      </c>
      <c r="C63" s="111">
        <f>'Data Input'!F110</f>
        <v>0</v>
      </c>
      <c r="D63" s="111">
        <f>'Data Input'!G110</f>
        <v>0</v>
      </c>
      <c r="E63" s="111">
        <f>'Data Input'!H110</f>
        <v>0</v>
      </c>
      <c r="F63" s="128">
        <f>'Data Input'!I110</f>
        <v>18.809999999999999</v>
      </c>
      <c r="G63" s="111">
        <f>'Data Input'!J110</f>
        <v>30.67</v>
      </c>
      <c r="H63" s="111">
        <f>'Data Input'!K110</f>
        <v>37.04</v>
      </c>
      <c r="I63" s="111">
        <f>'Data Input'!L110</f>
        <v>42.29</v>
      </c>
    </row>
    <row r="64" spans="1:9" x14ac:dyDescent="0.2">
      <c r="A64" s="40" t="s">
        <v>260</v>
      </c>
      <c r="B64" s="111">
        <f>'Data Input'!E111</f>
        <v>0</v>
      </c>
      <c r="C64" s="111">
        <f>'Data Input'!F111</f>
        <v>0</v>
      </c>
      <c r="D64" s="111">
        <f>'Data Input'!G111</f>
        <v>0</v>
      </c>
      <c r="E64" s="111">
        <f>'Data Input'!H111</f>
        <v>0</v>
      </c>
      <c r="F64" s="128">
        <f>'Data Input'!I111</f>
        <v>0</v>
      </c>
      <c r="G64" s="111">
        <f>'Data Input'!J111</f>
        <v>0</v>
      </c>
      <c r="H64" s="111">
        <f>'Data Input'!K111</f>
        <v>0</v>
      </c>
      <c r="I64" s="111">
        <f>'Data Input'!L111</f>
        <v>0</v>
      </c>
    </row>
    <row r="65" spans="1:9" x14ac:dyDescent="0.2">
      <c r="A65" s="38" t="s">
        <v>224</v>
      </c>
      <c r="B65" s="110">
        <f t="shared" ref="B65:C65" si="40">SUM(B61:B64)</f>
        <v>0</v>
      </c>
      <c r="C65" s="110">
        <f t="shared" si="40"/>
        <v>0</v>
      </c>
      <c r="D65" s="110">
        <f>SUM(D61:D64)</f>
        <v>0</v>
      </c>
      <c r="E65" s="110">
        <f t="shared" ref="E65:F65" si="41">SUM(E61:E64)</f>
        <v>0</v>
      </c>
      <c r="F65" s="129">
        <f t="shared" si="41"/>
        <v>66.56</v>
      </c>
      <c r="G65" s="110">
        <f t="shared" ref="G65:H65" si="42">SUM(G61:G64)</f>
        <v>77.599999999999994</v>
      </c>
      <c r="H65" s="110">
        <f t="shared" si="42"/>
        <v>116.93</v>
      </c>
      <c r="I65" s="110">
        <f t="shared" ref="I65" si="43">SUM(I61:I64)</f>
        <v>130.39000000000001</v>
      </c>
    </row>
    <row r="66" spans="1:9" x14ac:dyDescent="0.2">
      <c r="A66" s="40" t="s">
        <v>261</v>
      </c>
      <c r="B66" s="111">
        <f>'Data Input'!E85</f>
        <v>0</v>
      </c>
      <c r="C66" s="111">
        <f>'Data Input'!F85</f>
        <v>0</v>
      </c>
      <c r="D66" s="111">
        <f>'Data Input'!G85</f>
        <v>0</v>
      </c>
      <c r="E66" s="111">
        <f>'Data Input'!H85</f>
        <v>0</v>
      </c>
      <c r="F66" s="128">
        <f>'Data Input'!I85</f>
        <v>34.950000000000003</v>
      </c>
      <c r="G66" s="111">
        <f>'Data Input'!J85</f>
        <v>24.77</v>
      </c>
      <c r="H66" s="111">
        <f>'Data Input'!K85</f>
        <v>19.049999999999997</v>
      </c>
      <c r="I66" s="111">
        <f>'Data Input'!L85</f>
        <v>21.580000000000002</v>
      </c>
    </row>
    <row r="67" spans="1:9" x14ac:dyDescent="0.2">
      <c r="A67" s="40" t="s">
        <v>262</v>
      </c>
      <c r="B67" s="111">
        <f t="shared" ref="B67:C67" si="44">+B65-B66</f>
        <v>0</v>
      </c>
      <c r="C67" s="111">
        <f t="shared" si="44"/>
        <v>0</v>
      </c>
      <c r="D67" s="111">
        <f>+D65-D66</f>
        <v>0</v>
      </c>
      <c r="E67" s="111">
        <f t="shared" ref="E67:F67" si="45">+E65-E66</f>
        <v>0</v>
      </c>
      <c r="F67" s="128">
        <f t="shared" si="45"/>
        <v>31.61</v>
      </c>
      <c r="G67" s="111">
        <f t="shared" ref="G67:H67" si="46">+G65-G66</f>
        <v>52.83</v>
      </c>
      <c r="H67" s="111">
        <f t="shared" si="46"/>
        <v>97.88000000000001</v>
      </c>
      <c r="I67" s="111">
        <f t="shared" ref="I67" si="47">+I65-I66</f>
        <v>108.81000000000002</v>
      </c>
    </row>
    <row r="68" spans="1:9" x14ac:dyDescent="0.2">
      <c r="A68" s="41" t="s">
        <v>263</v>
      </c>
      <c r="B68" s="111">
        <f t="shared" ref="B68:C68" si="48">SUM(B61:B63)*25%</f>
        <v>0</v>
      </c>
      <c r="C68" s="111">
        <f t="shared" si="48"/>
        <v>0</v>
      </c>
      <c r="D68" s="111">
        <f>SUM(D61:D63)*25%</f>
        <v>0</v>
      </c>
      <c r="E68" s="111">
        <f t="shared" ref="E68:F68" si="49">SUM(E61:E63)*25%</f>
        <v>0</v>
      </c>
      <c r="F68" s="128">
        <f t="shared" si="49"/>
        <v>16.64</v>
      </c>
      <c r="G68" s="111">
        <f t="shared" ref="G68:H68" si="50">SUM(G61:G63)*25%</f>
        <v>19.399999999999999</v>
      </c>
      <c r="H68" s="111">
        <f t="shared" si="50"/>
        <v>29.232500000000002</v>
      </c>
      <c r="I68" s="111">
        <f t="shared" ref="I68" si="51">SUM(I61:I63)*25%</f>
        <v>32.597500000000004</v>
      </c>
    </row>
    <row r="69" spans="1:9" x14ac:dyDescent="0.2">
      <c r="A69" s="40" t="s">
        <v>264</v>
      </c>
      <c r="B69" s="111">
        <f>'Data Input'!E139</f>
        <v>0</v>
      </c>
      <c r="C69" s="111">
        <f>'Data Input'!F139</f>
        <v>0</v>
      </c>
      <c r="D69" s="111">
        <f>'Data Input'!G139</f>
        <v>0</v>
      </c>
      <c r="E69" s="111">
        <f>'Data Input'!H139</f>
        <v>0</v>
      </c>
      <c r="F69" s="128">
        <f>'Data Input'!I139</f>
        <v>12.46</v>
      </c>
      <c r="G69" s="111">
        <f>'Data Input'!J139</f>
        <v>18.319999999999986</v>
      </c>
      <c r="H69" s="111">
        <f>'Data Input'!K139</f>
        <v>27.879999999999995</v>
      </c>
      <c r="I69" s="111">
        <f>'Data Input'!L139</f>
        <v>38.81</v>
      </c>
    </row>
    <row r="70" spans="1:9" x14ac:dyDescent="0.2">
      <c r="A70" s="40" t="s">
        <v>275</v>
      </c>
      <c r="B70" s="111">
        <f t="shared" ref="B70:C70" si="52">B67-B68</f>
        <v>0</v>
      </c>
      <c r="C70" s="111">
        <f t="shared" si="52"/>
        <v>0</v>
      </c>
      <c r="D70" s="111">
        <f>D67-D68</f>
        <v>0</v>
      </c>
      <c r="E70" s="111">
        <f t="shared" ref="E70:F70" si="53">E67-E68</f>
        <v>0</v>
      </c>
      <c r="F70" s="128">
        <f t="shared" si="53"/>
        <v>14.969999999999999</v>
      </c>
      <c r="G70" s="111">
        <f t="shared" ref="G70:H70" si="54">G67-G68</f>
        <v>33.43</v>
      </c>
      <c r="H70" s="111">
        <f t="shared" si="54"/>
        <v>68.647500000000008</v>
      </c>
      <c r="I70" s="111">
        <f t="shared" ref="I70" si="55">I67-I68</f>
        <v>76.212500000000006</v>
      </c>
    </row>
    <row r="71" spans="1:9" x14ac:dyDescent="0.2">
      <c r="A71" s="40" t="s">
        <v>276</v>
      </c>
      <c r="B71" s="111">
        <f t="shared" ref="B71:C71" si="56">B67-B69</f>
        <v>0</v>
      </c>
      <c r="C71" s="111">
        <f t="shared" si="56"/>
        <v>0</v>
      </c>
      <c r="D71" s="111">
        <f>D67-D69</f>
        <v>0</v>
      </c>
      <c r="E71" s="111">
        <f t="shared" ref="E71" si="57">E67-E69</f>
        <v>0</v>
      </c>
      <c r="F71" s="128">
        <f>F67-F69</f>
        <v>19.149999999999999</v>
      </c>
      <c r="G71" s="111">
        <f>G67-G69</f>
        <v>34.510000000000012</v>
      </c>
      <c r="H71" s="111">
        <f>H67-H69</f>
        <v>70.000000000000014</v>
      </c>
      <c r="I71" s="111">
        <f>I67-I69</f>
        <v>70.000000000000014</v>
      </c>
    </row>
    <row r="72" spans="1:9" x14ac:dyDescent="0.2">
      <c r="A72" s="38" t="s">
        <v>225</v>
      </c>
      <c r="B72" s="110">
        <f t="shared" ref="B72:G72" si="58">MIN(B70:B71)</f>
        <v>0</v>
      </c>
      <c r="C72" s="110">
        <f t="shared" si="58"/>
        <v>0</v>
      </c>
      <c r="D72" s="110">
        <f t="shared" si="58"/>
        <v>0</v>
      </c>
      <c r="E72" s="110">
        <f t="shared" si="58"/>
        <v>0</v>
      </c>
      <c r="F72" s="129">
        <f t="shared" si="58"/>
        <v>14.969999999999999</v>
      </c>
      <c r="G72" s="110">
        <f t="shared" si="58"/>
        <v>33.43</v>
      </c>
      <c r="H72" s="110">
        <f t="shared" ref="H72:I72" si="59">MIN(H70:H71)</f>
        <v>68.647500000000008</v>
      </c>
      <c r="I72" s="110">
        <f t="shared" si="59"/>
        <v>70.000000000000014</v>
      </c>
    </row>
    <row r="73" spans="1:9" x14ac:dyDescent="0.2">
      <c r="A73" s="40" t="s">
        <v>226</v>
      </c>
      <c r="B73" s="111">
        <f t="shared" ref="B73:G73" si="60">B71-B70</f>
        <v>0</v>
      </c>
      <c r="C73" s="111">
        <f t="shared" si="60"/>
        <v>0</v>
      </c>
      <c r="D73" s="111">
        <f t="shared" si="60"/>
        <v>0</v>
      </c>
      <c r="E73" s="111">
        <f t="shared" si="60"/>
        <v>0</v>
      </c>
      <c r="F73" s="128">
        <f t="shared" si="60"/>
        <v>4.18</v>
      </c>
      <c r="G73" s="111">
        <f t="shared" si="60"/>
        <v>1.0800000000000125</v>
      </c>
      <c r="H73" s="111">
        <f t="shared" ref="H73:I73" si="61">H71-H70</f>
        <v>1.3525000000000063</v>
      </c>
      <c r="I73" s="111">
        <f t="shared" si="61"/>
        <v>-6.2124999999999915</v>
      </c>
    </row>
    <row r="74" spans="1:9" x14ac:dyDescent="0.2">
      <c r="A74" s="38" t="s">
        <v>227</v>
      </c>
      <c r="B74" s="110">
        <f t="shared" ref="B74:C74" si="62">B72</f>
        <v>0</v>
      </c>
      <c r="C74" s="110">
        <f t="shared" si="62"/>
        <v>0</v>
      </c>
      <c r="D74" s="110">
        <f>D72</f>
        <v>0</v>
      </c>
      <c r="E74" s="110">
        <f t="shared" ref="E74:F74" si="63">E72</f>
        <v>0</v>
      </c>
      <c r="F74" s="129">
        <f t="shared" si="63"/>
        <v>14.969999999999999</v>
      </c>
      <c r="G74" s="110">
        <f t="shared" ref="G74:H74" si="64">G72</f>
        <v>33.43</v>
      </c>
      <c r="H74" s="110">
        <f t="shared" si="64"/>
        <v>68.647500000000008</v>
      </c>
      <c r="I74" s="110">
        <f t="shared" ref="I74" si="65">I72</f>
        <v>70.000000000000014</v>
      </c>
    </row>
  </sheetData>
  <mergeCells count="4">
    <mergeCell ref="A1:F1"/>
    <mergeCell ref="A2:F2"/>
    <mergeCell ref="A3:F3"/>
    <mergeCell ref="A4:A5"/>
  </mergeCells>
  <pageMargins left="0.7" right="0.7" top="0.75" bottom="0.75" header="0.3" footer="0.3"/>
  <pageSetup scale="66" orientation="portrait" horizontalDpi="4294967295" verticalDpi="4294967295" r:id="rId1"/>
  <rowBreaks count="1" manualBreakCount="1">
    <brk id="52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71"/>
  <sheetViews>
    <sheetView view="pageBreakPreview" topLeftCell="A35" zoomScaleSheetLayoutView="100" workbookViewId="0">
      <selection activeCell="H69" sqref="H69"/>
    </sheetView>
  </sheetViews>
  <sheetFormatPr defaultColWidth="9.140625" defaultRowHeight="12.75" x14ac:dyDescent="0.2"/>
  <cols>
    <col min="1" max="1" width="44.42578125" style="35" bestFit="1" customWidth="1"/>
    <col min="2" max="3" width="10.7109375" style="35" hidden="1" customWidth="1"/>
    <col min="4" max="6" width="10.7109375" style="116" hidden="1" customWidth="1"/>
    <col min="7" max="11" width="10.7109375" style="116" customWidth="1"/>
    <col min="12" max="16384" width="9.140625" style="35"/>
  </cols>
  <sheetData>
    <row r="1" spans="1:11" ht="14.25" x14ac:dyDescent="0.2">
      <c r="A1" s="171" t="str">
        <f>+'Data Input'!B5</f>
        <v>Punjab National Bank</v>
      </c>
      <c r="B1" s="171"/>
      <c r="C1" s="171"/>
      <c r="D1" s="171"/>
      <c r="E1" s="171"/>
      <c r="F1" s="171"/>
      <c r="G1" s="171"/>
    </row>
    <row r="2" spans="1:11" ht="14.25" x14ac:dyDescent="0.2">
      <c r="A2" s="171" t="str">
        <f>+'Data Input'!B6</f>
        <v>MCC Durgapur</v>
      </c>
      <c r="B2" s="171"/>
      <c r="C2" s="171"/>
      <c r="D2" s="171"/>
      <c r="E2" s="171"/>
      <c r="F2" s="171"/>
      <c r="G2" s="171"/>
    </row>
    <row r="3" spans="1:11" ht="14.25" x14ac:dyDescent="0.2">
      <c r="A3" s="171" t="str">
        <f>+'Data Input'!B7</f>
        <v>Durgapur</v>
      </c>
      <c r="B3" s="171"/>
      <c r="C3" s="171"/>
      <c r="D3" s="171"/>
      <c r="E3" s="171"/>
      <c r="F3" s="171"/>
      <c r="G3" s="171"/>
    </row>
    <row r="4" spans="1:11" x14ac:dyDescent="0.2">
      <c r="A4" s="175" t="str">
        <f>+'Data Input'!B4</f>
        <v>H R Ispat Pvt Ltd</v>
      </c>
      <c r="B4" s="38" t="str">
        <f>IF('Data Input'!C10="", "", 'Data Input'!C10)</f>
        <v>Audited</v>
      </c>
      <c r="C4" s="38" t="str">
        <f>IF('Data Input'!D10="", "", 'Data Input'!D10)</f>
        <v>Audited</v>
      </c>
      <c r="D4" s="117" t="str">
        <f>IF('Data Input'!E10="", "", 'Data Input'!E10)</f>
        <v>Audited</v>
      </c>
      <c r="E4" s="117" t="str">
        <f>IF('Data Input'!F10="", "", 'Data Input'!F10)</f>
        <v>Audited</v>
      </c>
      <c r="F4" s="117" t="str">
        <f>IF('Data Input'!G10="", "", 'Data Input'!G10)</f>
        <v>Audited</v>
      </c>
      <c r="G4" s="117" t="str">
        <f>IF('Data Input'!H10="", "", 'Data Input'!H10)</f>
        <v>Audited</v>
      </c>
      <c r="H4" s="117" t="str">
        <f>IF('Data Input'!I10="", "", 'Data Input'!I10)</f>
        <v>Audited</v>
      </c>
      <c r="I4" s="117" t="str">
        <f>IF('Data Input'!J10="", "", 'Data Input'!J10)</f>
        <v>Audited</v>
      </c>
      <c r="J4" s="117" t="str">
        <f>IF('Data Input'!K10="", "", 'Data Input'!K10)</f>
        <v>Projected</v>
      </c>
      <c r="K4" s="117" t="str">
        <f>IF('Data Input'!L10="", "", 'Data Input'!L10)</f>
        <v>Projected</v>
      </c>
    </row>
    <row r="5" spans="1:11" x14ac:dyDescent="0.2">
      <c r="A5" s="175"/>
      <c r="B5" s="38">
        <f>IF('Data Input'!C11="", "", 'Data Input'!C11)</f>
        <v>2017</v>
      </c>
      <c r="C5" s="38">
        <f>IF('Data Input'!D11="", "", 'Data Input'!D11)</f>
        <v>2018</v>
      </c>
      <c r="D5" s="120">
        <f>IF('Data Input'!E11="", "", 'Data Input'!E11)</f>
        <v>2019</v>
      </c>
      <c r="E5" s="120">
        <f>IF('Data Input'!F11="", "", 'Data Input'!F11)</f>
        <v>2020</v>
      </c>
      <c r="F5" s="120">
        <f>IF('Data Input'!G11="", "", 'Data Input'!G11)</f>
        <v>2021</v>
      </c>
      <c r="G5" s="120">
        <f>IF('Data Input'!H11="", "", 'Data Input'!H11)</f>
        <v>2022</v>
      </c>
      <c r="H5" s="120">
        <f>IF('Data Input'!I11="", "", 'Data Input'!I11)</f>
        <v>2023</v>
      </c>
      <c r="I5" s="120">
        <f>IF('Data Input'!J11="", "", 'Data Input'!J11)</f>
        <v>2024</v>
      </c>
      <c r="J5" s="120">
        <f>IF('Data Input'!K11="", "", 'Data Input'!K11)</f>
        <v>2025</v>
      </c>
      <c r="K5" s="120">
        <f>IF('Data Input'!L11="", "", 'Data Input'!L11)</f>
        <v>2026</v>
      </c>
    </row>
    <row r="6" spans="1:11" x14ac:dyDescent="0.2">
      <c r="A6" s="36" t="s">
        <v>176</v>
      </c>
    </row>
    <row r="7" spans="1:11" x14ac:dyDescent="0.2">
      <c r="A7" s="37" t="s">
        <v>155</v>
      </c>
      <c r="B7" s="39">
        <f>'Data Input'!C54</f>
        <v>0</v>
      </c>
      <c r="C7" s="39">
        <f>'Data Input'!D54</f>
        <v>0</v>
      </c>
      <c r="D7" s="118">
        <f>'Data Input'!E54</f>
        <v>0</v>
      </c>
      <c r="E7" s="118">
        <f>'Data Input'!F54</f>
        <v>0</v>
      </c>
      <c r="F7" s="118">
        <f>'Data Input'!G54</f>
        <v>0</v>
      </c>
      <c r="G7" s="118">
        <f>'Data Input'!H54</f>
        <v>0</v>
      </c>
      <c r="H7" s="118">
        <f>'Data Input'!I54</f>
        <v>10.580000000000064</v>
      </c>
      <c r="I7" s="118">
        <f>'Data Input'!J54</f>
        <v>7.0100000000000122</v>
      </c>
      <c r="J7" s="118">
        <f>'Data Input'!K54</f>
        <v>9.6600000000001032</v>
      </c>
      <c r="K7" s="118">
        <f>'Data Input'!L54</f>
        <v>12.100000000000032</v>
      </c>
    </row>
    <row r="8" spans="1:11" x14ac:dyDescent="0.2">
      <c r="A8" s="37" t="s">
        <v>177</v>
      </c>
      <c r="B8" s="39">
        <f xml:space="preserve"> 'Data Input'!C47</f>
        <v>0</v>
      </c>
      <c r="C8" s="39">
        <f xml:space="preserve"> 'Data Input'!D47</f>
        <v>0</v>
      </c>
      <c r="D8" s="118">
        <f xml:space="preserve"> 'Data Input'!E47</f>
        <v>0</v>
      </c>
      <c r="E8" s="118">
        <f xml:space="preserve"> 'Data Input'!F47</f>
        <v>0</v>
      </c>
      <c r="F8" s="118">
        <f xml:space="preserve"> 'Data Input'!G47</f>
        <v>0</v>
      </c>
      <c r="G8" s="118">
        <f xml:space="preserve"> 'Data Input'!H47</f>
        <v>0</v>
      </c>
      <c r="H8" s="118">
        <f xml:space="preserve"> 'Data Input'!I47</f>
        <v>0.5</v>
      </c>
      <c r="I8" s="118">
        <f xml:space="preserve"> 'Data Input'!J47</f>
        <v>0.6</v>
      </c>
      <c r="J8" s="118">
        <f xml:space="preserve"> 'Data Input'!K47</f>
        <v>0.21</v>
      </c>
      <c r="K8" s="118">
        <f xml:space="preserve"> 'Data Input'!L47</f>
        <v>0.12</v>
      </c>
    </row>
    <row r="9" spans="1:11" x14ac:dyDescent="0.2">
      <c r="A9" s="37" t="s">
        <v>178</v>
      </c>
      <c r="B9" s="39">
        <f xml:space="preserve"> 'Data Input'!C52</f>
        <v>0</v>
      </c>
      <c r="C9" s="39">
        <f xml:space="preserve"> 'Data Input'!D52</f>
        <v>0</v>
      </c>
      <c r="D9" s="118">
        <f xml:space="preserve"> 'Data Input'!E52</f>
        <v>0</v>
      </c>
      <c r="E9" s="118">
        <f xml:space="preserve"> 'Data Input'!F52</f>
        <v>0</v>
      </c>
      <c r="F9" s="118">
        <f xml:space="preserve"> 'Data Input'!G52</f>
        <v>0</v>
      </c>
      <c r="G9" s="118">
        <f xml:space="preserve"> 'Data Input'!H52</f>
        <v>0</v>
      </c>
      <c r="H9" s="118">
        <f xml:space="preserve"> 'Data Input'!I52</f>
        <v>0</v>
      </c>
      <c r="I9" s="118">
        <f xml:space="preserve"> 'Data Input'!J52</f>
        <v>0</v>
      </c>
      <c r="J9" s="118">
        <f xml:space="preserve"> 'Data Input'!K52</f>
        <v>0</v>
      </c>
      <c r="K9" s="118">
        <f xml:space="preserve"> 'Data Input'!L52</f>
        <v>0</v>
      </c>
    </row>
    <row r="10" spans="1:11" x14ac:dyDescent="0.2">
      <c r="A10" s="37" t="s">
        <v>179</v>
      </c>
      <c r="B10" s="39">
        <f xml:space="preserve"> 'Data Input'!C51</f>
        <v>0</v>
      </c>
      <c r="C10" s="39">
        <f xml:space="preserve"> 'Data Input'!D51</f>
        <v>0</v>
      </c>
      <c r="D10" s="118">
        <f xml:space="preserve"> 'Data Input'!E51</f>
        <v>0</v>
      </c>
      <c r="E10" s="118">
        <f xml:space="preserve"> 'Data Input'!F51</f>
        <v>0</v>
      </c>
      <c r="F10" s="118">
        <f xml:space="preserve"> 'Data Input'!G51</f>
        <v>0</v>
      </c>
      <c r="G10" s="118">
        <f xml:space="preserve"> 'Data Input'!H51</f>
        <v>0</v>
      </c>
      <c r="H10" s="118">
        <f xml:space="preserve"> 'Data Input'!I51</f>
        <v>0.1</v>
      </c>
      <c r="I10" s="118">
        <f xml:space="preserve"> 'Data Input'!J51</f>
        <v>0.15</v>
      </c>
      <c r="J10" s="118">
        <f xml:space="preserve"> 'Data Input'!K51</f>
        <v>0</v>
      </c>
      <c r="K10" s="118">
        <f xml:space="preserve"> 'Data Input'!L51</f>
        <v>0</v>
      </c>
    </row>
    <row r="11" spans="1:11" x14ac:dyDescent="0.2">
      <c r="A11" s="37" t="s">
        <v>241</v>
      </c>
      <c r="B11" s="39">
        <f>B7+B8+B9-B10</f>
        <v>0</v>
      </c>
      <c r="C11" s="39">
        <f t="shared" ref="C11:G11" si="0">C7+C8+C9-C10</f>
        <v>0</v>
      </c>
      <c r="D11" s="118">
        <f t="shared" si="0"/>
        <v>0</v>
      </c>
      <c r="E11" s="118">
        <f t="shared" si="0"/>
        <v>0</v>
      </c>
      <c r="F11" s="118">
        <f t="shared" si="0"/>
        <v>0</v>
      </c>
      <c r="G11" s="118">
        <f t="shared" si="0"/>
        <v>0</v>
      </c>
      <c r="H11" s="118">
        <f t="shared" ref="H11:K11" si="1">H7+H8+H9-H10</f>
        <v>10.980000000000064</v>
      </c>
      <c r="I11" s="118">
        <f t="shared" si="1"/>
        <v>7.4600000000000115</v>
      </c>
      <c r="J11" s="118">
        <f t="shared" si="1"/>
        <v>9.870000000000104</v>
      </c>
      <c r="K11" s="118">
        <f t="shared" si="1"/>
        <v>12.220000000000031</v>
      </c>
    </row>
    <row r="12" spans="1:11" x14ac:dyDescent="0.2">
      <c r="A12" s="37" t="s">
        <v>180</v>
      </c>
      <c r="B12" s="39">
        <f>'Data Input'!C101+'Data Input'!C94</f>
        <v>0</v>
      </c>
      <c r="C12" s="39">
        <f>'Data Input'!D101+'Data Input'!D94</f>
        <v>0</v>
      </c>
      <c r="D12" s="118">
        <f>'Data Input'!E101+'Data Input'!E94</f>
        <v>0</v>
      </c>
      <c r="E12" s="118">
        <f>'Data Input'!F101+'Data Input'!F94</f>
        <v>0</v>
      </c>
      <c r="F12" s="118">
        <f>'Data Input'!G101+'Data Input'!G94</f>
        <v>0</v>
      </c>
      <c r="G12" s="118">
        <f>'Data Input'!H101+'Data Input'!H94</f>
        <v>0</v>
      </c>
      <c r="H12" s="118">
        <f>'Data Input'!I101+'Data Input'!I94</f>
        <v>50.839999999999996</v>
      </c>
      <c r="I12" s="118">
        <f>'Data Input'!J101+'Data Input'!J94</f>
        <v>53.149999999999991</v>
      </c>
      <c r="J12" s="118">
        <f>'Data Input'!K101+'Data Input'!K94</f>
        <v>59.3</v>
      </c>
      <c r="K12" s="118">
        <f>'Data Input'!L101+'Data Input'!L94</f>
        <v>66.83</v>
      </c>
    </row>
    <row r="13" spans="1:11" x14ac:dyDescent="0.2">
      <c r="A13" s="37" t="s">
        <v>157</v>
      </c>
      <c r="B13" s="40" t="e">
        <f>B11/B12</f>
        <v>#DIV/0!</v>
      </c>
      <c r="C13" s="40" t="e">
        <f t="shared" ref="C13:G13" si="2">C11/C12</f>
        <v>#DIV/0!</v>
      </c>
      <c r="D13" s="118" t="e">
        <f t="shared" si="2"/>
        <v>#DIV/0!</v>
      </c>
      <c r="E13" s="118" t="e">
        <f t="shared" si="2"/>
        <v>#DIV/0!</v>
      </c>
      <c r="F13" s="118" t="e">
        <f t="shared" si="2"/>
        <v>#DIV/0!</v>
      </c>
      <c r="G13" s="118" t="e">
        <f t="shared" si="2"/>
        <v>#DIV/0!</v>
      </c>
      <c r="H13" s="118">
        <f t="shared" ref="H13:K13" si="3">H11/H12</f>
        <v>0.21597167584579199</v>
      </c>
      <c r="I13" s="118">
        <f t="shared" si="3"/>
        <v>0.14035747883349037</v>
      </c>
      <c r="J13" s="118">
        <f t="shared" si="3"/>
        <v>0.16644182124789383</v>
      </c>
      <c r="K13" s="118">
        <f t="shared" si="3"/>
        <v>0.18285201256920591</v>
      </c>
    </row>
    <row r="14" spans="1:11" x14ac:dyDescent="0.2">
      <c r="A14" s="36" t="s">
        <v>146</v>
      </c>
    </row>
    <row r="15" spans="1:11" x14ac:dyDescent="0.2">
      <c r="A15" s="36" t="s">
        <v>147</v>
      </c>
      <c r="B15" s="39">
        <f>'Data Input'!C57</f>
        <v>0</v>
      </c>
      <c r="C15" s="39">
        <f>'Data Input'!D57</f>
        <v>0</v>
      </c>
      <c r="D15" s="118">
        <f>'Data Input'!E57</f>
        <v>0</v>
      </c>
      <c r="E15" s="118">
        <f>'Data Input'!F57</f>
        <v>0</v>
      </c>
      <c r="F15" s="118">
        <f>'Data Input'!G57</f>
        <v>0</v>
      </c>
      <c r="G15" s="118">
        <f>'Data Input'!H57</f>
        <v>0</v>
      </c>
      <c r="H15" s="118">
        <f>'Data Input'!I57</f>
        <v>5.2500000000000648</v>
      </c>
      <c r="I15" s="118">
        <f>'Data Input'!J57</f>
        <v>4.7900000000000116</v>
      </c>
      <c r="J15" s="118">
        <f>'Data Input'!K57</f>
        <v>6.8400000000001029</v>
      </c>
      <c r="K15" s="118">
        <f>'Data Input'!L57</f>
        <v>8.1200000000000312</v>
      </c>
    </row>
    <row r="16" spans="1:11" x14ac:dyDescent="0.2">
      <c r="A16" s="37" t="s">
        <v>148</v>
      </c>
      <c r="B16" s="39">
        <f>'Data Input'!C55+'Data Input'!C56</f>
        <v>0</v>
      </c>
      <c r="C16" s="39">
        <f>'Data Input'!D55+'Data Input'!D56</f>
        <v>0</v>
      </c>
      <c r="D16" s="118">
        <f>'Data Input'!E55+'Data Input'!E56</f>
        <v>0</v>
      </c>
      <c r="E16" s="118">
        <f>'Data Input'!F55+'Data Input'!F56</f>
        <v>0</v>
      </c>
      <c r="F16" s="118">
        <f>'Data Input'!G55+'Data Input'!G56</f>
        <v>0</v>
      </c>
      <c r="G16" s="118">
        <f>'Data Input'!H55+'Data Input'!H56</f>
        <v>0</v>
      </c>
      <c r="H16" s="118">
        <f>'Data Input'!I55+'Data Input'!I56</f>
        <v>5.3299999999999992</v>
      </c>
      <c r="I16" s="118">
        <f>'Data Input'!J55+'Data Input'!J56</f>
        <v>2.2200000000000002</v>
      </c>
      <c r="J16" s="118">
        <f>'Data Input'!K55+'Data Input'!K56</f>
        <v>2.8200000000000003</v>
      </c>
      <c r="K16" s="118">
        <f>'Data Input'!L55+'Data Input'!L56</f>
        <v>3.98</v>
      </c>
    </row>
    <row r="17" spans="1:11" x14ac:dyDescent="0.2">
      <c r="A17" s="37" t="s">
        <v>149</v>
      </c>
      <c r="B17" s="39">
        <f>'Data Input'!C29</f>
        <v>0</v>
      </c>
      <c r="C17" s="39">
        <f>'Data Input'!D29</f>
        <v>0</v>
      </c>
      <c r="D17" s="118">
        <f>'Data Input'!E29</f>
        <v>0</v>
      </c>
      <c r="E17" s="118">
        <f>'Data Input'!F29</f>
        <v>0</v>
      </c>
      <c r="F17" s="118">
        <f>'Data Input'!G29</f>
        <v>0</v>
      </c>
      <c r="G17" s="118">
        <f>'Data Input'!H29</f>
        <v>0</v>
      </c>
      <c r="H17" s="118">
        <f>'Data Input'!I29</f>
        <v>3.23</v>
      </c>
      <c r="I17" s="118">
        <f>'Data Input'!J29</f>
        <v>3.47</v>
      </c>
      <c r="J17" s="118">
        <f>'Data Input'!K29</f>
        <v>3.4</v>
      </c>
      <c r="K17" s="118">
        <f>'Data Input'!L29</f>
        <v>3.4</v>
      </c>
    </row>
    <row r="18" spans="1:11" x14ac:dyDescent="0.2">
      <c r="A18" s="37" t="s">
        <v>150</v>
      </c>
      <c r="B18" s="39">
        <f>'Data Input'!C46</f>
        <v>0</v>
      </c>
      <c r="C18" s="39">
        <f>'Data Input'!D46</f>
        <v>0</v>
      </c>
      <c r="D18" s="118">
        <f>'Data Input'!E46</f>
        <v>0</v>
      </c>
      <c r="E18" s="118">
        <f>'Data Input'!F46</f>
        <v>0</v>
      </c>
      <c r="F18" s="118">
        <f>'Data Input'!G46</f>
        <v>0</v>
      </c>
      <c r="G18" s="118">
        <f>'Data Input'!H46</f>
        <v>0</v>
      </c>
      <c r="H18" s="118">
        <f>'Data Input'!I46</f>
        <v>2.4500000000000002</v>
      </c>
      <c r="I18" s="118">
        <f>'Data Input'!J46</f>
        <v>3.69</v>
      </c>
      <c r="J18" s="118">
        <f>'Data Input'!K46</f>
        <v>4.8</v>
      </c>
      <c r="K18" s="118">
        <f>'Data Input'!L46</f>
        <v>4.71</v>
      </c>
    </row>
    <row r="19" spans="1:11" x14ac:dyDescent="0.2">
      <c r="A19" s="36" t="s">
        <v>151</v>
      </c>
      <c r="B19" s="39">
        <f>SUM(B15:B18)</f>
        <v>0</v>
      </c>
      <c r="C19" s="39">
        <f t="shared" ref="C19:G19" si="4">SUM(C15:C18)</f>
        <v>0</v>
      </c>
      <c r="D19" s="118">
        <f>SUM(D15:D18)</f>
        <v>0</v>
      </c>
      <c r="E19" s="118">
        <f t="shared" si="4"/>
        <v>0</v>
      </c>
      <c r="F19" s="118">
        <f t="shared" si="4"/>
        <v>0</v>
      </c>
      <c r="G19" s="118">
        <f t="shared" si="4"/>
        <v>0</v>
      </c>
      <c r="H19" s="118">
        <f t="shared" ref="H19:K19" si="5">SUM(H15:H18)</f>
        <v>16.260000000000066</v>
      </c>
      <c r="I19" s="118">
        <f t="shared" si="5"/>
        <v>14.170000000000012</v>
      </c>
      <c r="J19" s="118">
        <f t="shared" si="5"/>
        <v>17.860000000000102</v>
      </c>
      <c r="K19" s="118">
        <f t="shared" si="5"/>
        <v>20.210000000000033</v>
      </c>
    </row>
    <row r="20" spans="1:11" x14ac:dyDescent="0.2">
      <c r="A20" s="36" t="s">
        <v>152</v>
      </c>
      <c r="B20" s="39">
        <f>B15+B16+B17</f>
        <v>0</v>
      </c>
      <c r="C20" s="39">
        <f t="shared" ref="C20:G20" si="6">C15+C16+C17</f>
        <v>0</v>
      </c>
      <c r="D20" s="118">
        <f>D15+D16+D17</f>
        <v>0</v>
      </c>
      <c r="E20" s="118">
        <f t="shared" si="6"/>
        <v>0</v>
      </c>
      <c r="F20" s="118">
        <f t="shared" si="6"/>
        <v>0</v>
      </c>
      <c r="G20" s="118">
        <f t="shared" si="6"/>
        <v>0</v>
      </c>
      <c r="H20" s="118">
        <f t="shared" ref="H20:K20" si="7">H15+H16+H17</f>
        <v>13.810000000000064</v>
      </c>
      <c r="I20" s="118">
        <f t="shared" si="7"/>
        <v>10.480000000000013</v>
      </c>
      <c r="J20" s="118">
        <f t="shared" si="7"/>
        <v>13.060000000000104</v>
      </c>
      <c r="K20" s="118">
        <f t="shared" si="7"/>
        <v>15.500000000000032</v>
      </c>
    </row>
    <row r="21" spans="1:11" x14ac:dyDescent="0.2">
      <c r="A21" s="36" t="s">
        <v>181</v>
      </c>
    </row>
    <row r="22" spans="1:11" x14ac:dyDescent="0.2">
      <c r="A22" s="37" t="s">
        <v>153</v>
      </c>
      <c r="B22" s="39">
        <f>'Data Input'!C12</f>
        <v>0</v>
      </c>
      <c r="C22" s="39">
        <f>'Data Input'!D12</f>
        <v>0</v>
      </c>
      <c r="D22" s="118">
        <f>'Data Input'!E12</f>
        <v>0</v>
      </c>
      <c r="E22" s="118">
        <f>'Data Input'!F12</f>
        <v>0</v>
      </c>
      <c r="F22" s="118">
        <f>'Data Input'!G12</f>
        <v>0</v>
      </c>
      <c r="G22" s="118">
        <f>'Data Input'!H12</f>
        <v>0</v>
      </c>
      <c r="H22" s="118">
        <f>'Data Input'!I12</f>
        <v>564.38</v>
      </c>
      <c r="I22" s="118">
        <f>'Data Input'!J12</f>
        <v>471.12</v>
      </c>
      <c r="J22" s="118">
        <f>'Data Input'!K12</f>
        <v>528.88</v>
      </c>
      <c r="K22" s="118">
        <f>'Data Input'!L12</f>
        <v>603.94000000000005</v>
      </c>
    </row>
    <row r="23" spans="1:11" x14ac:dyDescent="0.2">
      <c r="A23" s="37" t="s">
        <v>154</v>
      </c>
      <c r="B23" s="39">
        <f>'Data Input'!C18</f>
        <v>0</v>
      </c>
      <c r="C23" s="39">
        <f>'Data Input'!D18</f>
        <v>0</v>
      </c>
      <c r="D23" s="118">
        <f>'Data Input'!E18</f>
        <v>0</v>
      </c>
      <c r="E23" s="118">
        <f>'Data Input'!F18</f>
        <v>0</v>
      </c>
      <c r="F23" s="118">
        <f>'Data Input'!G18</f>
        <v>0</v>
      </c>
      <c r="G23" s="118">
        <f>'Data Input'!H18</f>
        <v>0</v>
      </c>
      <c r="H23" s="118">
        <f>'Data Input'!I18</f>
        <v>564.38</v>
      </c>
      <c r="I23" s="118">
        <f>'Data Input'!J18</f>
        <v>471.12</v>
      </c>
      <c r="J23" s="118">
        <f>'Data Input'!K18</f>
        <v>528.88</v>
      </c>
      <c r="K23" s="118">
        <f>'Data Input'!L18</f>
        <v>603.94000000000005</v>
      </c>
    </row>
    <row r="24" spans="1:11" x14ac:dyDescent="0.2">
      <c r="A24" s="37" t="s">
        <v>2</v>
      </c>
      <c r="B24" s="39">
        <f>'Data Input'!C13</f>
        <v>0</v>
      </c>
      <c r="C24" s="39">
        <f>'Data Input'!D13</f>
        <v>0</v>
      </c>
      <c r="D24" s="118">
        <f>'Data Input'!E13</f>
        <v>0</v>
      </c>
      <c r="E24" s="118">
        <f>'Data Input'!F13</f>
        <v>0</v>
      </c>
      <c r="F24" s="118">
        <f>'Data Input'!G13</f>
        <v>0</v>
      </c>
      <c r="G24" s="118">
        <f>'Data Input'!H13</f>
        <v>0</v>
      </c>
      <c r="H24" s="118">
        <f>'Data Input'!I13</f>
        <v>564.38</v>
      </c>
      <c r="I24" s="118">
        <f>'Data Input'!J13</f>
        <v>471.12</v>
      </c>
      <c r="J24" s="118">
        <f>'Data Input'!K13</f>
        <v>528.88</v>
      </c>
      <c r="K24" s="118">
        <f>'Data Input'!L13</f>
        <v>603.94000000000005</v>
      </c>
    </row>
    <row r="25" spans="1:11" x14ac:dyDescent="0.2">
      <c r="A25" s="37" t="s">
        <v>3</v>
      </c>
      <c r="B25" s="39">
        <f>'Data Input'!C14</f>
        <v>0</v>
      </c>
      <c r="C25" s="39">
        <f>'Data Input'!D14</f>
        <v>0</v>
      </c>
      <c r="D25" s="118">
        <f>'Data Input'!E14</f>
        <v>0</v>
      </c>
      <c r="E25" s="118">
        <f>'Data Input'!F14</f>
        <v>0</v>
      </c>
      <c r="F25" s="118">
        <f>'Data Input'!G14</f>
        <v>0</v>
      </c>
      <c r="G25" s="118">
        <f>'Data Input'!H14</f>
        <v>0</v>
      </c>
      <c r="H25" s="118">
        <f>'Data Input'!I14</f>
        <v>0</v>
      </c>
      <c r="I25" s="118">
        <f>'Data Input'!J14</f>
        <v>0</v>
      </c>
      <c r="J25" s="118">
        <f>'Data Input'!K14</f>
        <v>0</v>
      </c>
      <c r="K25" s="118">
        <f>'Data Input'!L14</f>
        <v>0</v>
      </c>
    </row>
    <row r="26" spans="1:11" x14ac:dyDescent="0.2">
      <c r="A26" s="37" t="s">
        <v>172</v>
      </c>
      <c r="B26" s="39" t="s">
        <v>99</v>
      </c>
      <c r="C26" s="40" t="e">
        <f>(C23-B23)/B23</f>
        <v>#DIV/0!</v>
      </c>
      <c r="D26" s="118" t="e">
        <f t="shared" ref="D26:G26" si="8">(D23-C23)/C23</f>
        <v>#DIV/0!</v>
      </c>
      <c r="E26" s="118" t="e">
        <f t="shared" si="8"/>
        <v>#DIV/0!</v>
      </c>
      <c r="F26" s="118" t="e">
        <f>(F23-E23)/E23</f>
        <v>#DIV/0!</v>
      </c>
      <c r="G26" s="118" t="e">
        <f t="shared" si="8"/>
        <v>#DIV/0!</v>
      </c>
      <c r="H26" s="118" t="e">
        <f>(H23-G23)/G23</f>
        <v>#DIV/0!</v>
      </c>
      <c r="I26" s="118">
        <f t="shared" ref="I26" si="9">(I23-H23)/H23</f>
        <v>-0.16524327580708031</v>
      </c>
      <c r="J26" s="118">
        <f t="shared" ref="J26" si="10">(J23-I23)/I23</f>
        <v>0.12260146034980469</v>
      </c>
      <c r="K26" s="118">
        <f t="shared" ref="K26" si="11">(K23-J23)/J23</f>
        <v>0.14192255332022399</v>
      </c>
    </row>
    <row r="27" spans="1:11" x14ac:dyDescent="0.2">
      <c r="A27" s="36" t="s">
        <v>182</v>
      </c>
      <c r="B27" s="43"/>
      <c r="C27" s="44"/>
      <c r="D27" s="119"/>
      <c r="E27" s="119"/>
      <c r="F27" s="119"/>
      <c r="G27" s="119"/>
      <c r="H27" s="119"/>
      <c r="I27" s="119"/>
      <c r="J27" s="119"/>
      <c r="K27" s="119"/>
    </row>
    <row r="28" spans="1:11" x14ac:dyDescent="0.2">
      <c r="A28" s="37" t="s">
        <v>156</v>
      </c>
      <c r="B28" s="40" t="e">
        <f>B7/B23</f>
        <v>#DIV/0!</v>
      </c>
      <c r="C28" s="40" t="e">
        <f t="shared" ref="C28:G28" si="12">C7/C23</f>
        <v>#DIV/0!</v>
      </c>
      <c r="D28" s="118" t="e">
        <f t="shared" si="12"/>
        <v>#DIV/0!</v>
      </c>
      <c r="E28" s="118" t="e">
        <f t="shared" si="12"/>
        <v>#DIV/0!</v>
      </c>
      <c r="F28" s="118" t="e">
        <f t="shared" si="12"/>
        <v>#DIV/0!</v>
      </c>
      <c r="G28" s="118" t="e">
        <f t="shared" si="12"/>
        <v>#DIV/0!</v>
      </c>
      <c r="H28" s="118">
        <f t="shared" ref="H28:K28" si="13">H7/H23</f>
        <v>1.8746234806336269E-2</v>
      </c>
      <c r="I28" s="118">
        <f t="shared" si="13"/>
        <v>1.4879436237052157E-2</v>
      </c>
      <c r="J28" s="118">
        <f t="shared" si="13"/>
        <v>1.8265012857359143E-2</v>
      </c>
      <c r="K28" s="118">
        <f t="shared" si="13"/>
        <v>2.0035102824783969E-2</v>
      </c>
    </row>
    <row r="29" spans="1:11" x14ac:dyDescent="0.2">
      <c r="A29" s="37" t="s">
        <v>157</v>
      </c>
      <c r="B29" s="40" t="e">
        <f>B13</f>
        <v>#DIV/0!</v>
      </c>
      <c r="C29" s="40" t="e">
        <f t="shared" ref="C29:G29" si="14">C13</f>
        <v>#DIV/0!</v>
      </c>
      <c r="D29" s="118" t="e">
        <f t="shared" si="14"/>
        <v>#DIV/0!</v>
      </c>
      <c r="E29" s="118" t="e">
        <f t="shared" si="14"/>
        <v>#DIV/0!</v>
      </c>
      <c r="F29" s="118" t="e">
        <f t="shared" si="14"/>
        <v>#DIV/0!</v>
      </c>
      <c r="G29" s="118" t="e">
        <f t="shared" si="14"/>
        <v>#DIV/0!</v>
      </c>
      <c r="H29" s="118">
        <f t="shared" ref="H29:K29" si="15">H13</f>
        <v>0.21597167584579199</v>
      </c>
      <c r="I29" s="118">
        <f t="shared" si="15"/>
        <v>0.14035747883349037</v>
      </c>
      <c r="J29" s="118">
        <f t="shared" si="15"/>
        <v>0.16644182124789383</v>
      </c>
      <c r="K29" s="118">
        <f t="shared" si="15"/>
        <v>0.18285201256920591</v>
      </c>
    </row>
    <row r="30" spans="1:11" x14ac:dyDescent="0.2">
      <c r="A30" s="36" t="s">
        <v>183</v>
      </c>
      <c r="B30" s="40"/>
      <c r="C30" s="40"/>
      <c r="D30" s="118"/>
      <c r="E30" s="118"/>
      <c r="F30" s="118"/>
      <c r="G30" s="118"/>
      <c r="H30" s="118"/>
      <c r="I30" s="118"/>
      <c r="J30" s="118"/>
      <c r="K30" s="118"/>
    </row>
    <row r="31" spans="1:11" x14ac:dyDescent="0.2">
      <c r="A31" s="37" t="s">
        <v>158</v>
      </c>
      <c r="B31" s="39">
        <f>'Data Input'!C96</f>
        <v>0</v>
      </c>
      <c r="C31" s="39">
        <f>'Data Input'!D96</f>
        <v>0</v>
      </c>
      <c r="D31" s="118">
        <f>'Data Input'!E96</f>
        <v>0</v>
      </c>
      <c r="E31" s="118">
        <f>'Data Input'!F96</f>
        <v>0</v>
      </c>
      <c r="F31" s="118">
        <f>'Data Input'!G96</f>
        <v>0</v>
      </c>
      <c r="G31" s="118">
        <f>'Data Input'!H96</f>
        <v>0</v>
      </c>
      <c r="H31" s="118">
        <f>'Data Input'!I96</f>
        <v>5.33</v>
      </c>
      <c r="I31" s="118">
        <f>'Data Input'!J96</f>
        <v>5.33</v>
      </c>
      <c r="J31" s="118">
        <f>'Data Input'!K96</f>
        <v>5.33</v>
      </c>
      <c r="K31" s="118">
        <f>'Data Input'!L96</f>
        <v>5.33</v>
      </c>
    </row>
    <row r="32" spans="1:11" x14ac:dyDescent="0.2">
      <c r="A32" s="37" t="s">
        <v>159</v>
      </c>
      <c r="B32" s="39">
        <f>'Data Input'!C97+'Data Input'!C100+'Data Input'!C98</f>
        <v>0</v>
      </c>
      <c r="C32" s="39">
        <f>'Data Input'!D97+'Data Input'!D100+'Data Input'!D98</f>
        <v>0</v>
      </c>
      <c r="D32" s="118">
        <f>'Data Input'!E97+'Data Input'!E100+'Data Input'!E98</f>
        <v>0</v>
      </c>
      <c r="E32" s="118">
        <f>'Data Input'!F97+'Data Input'!F100+'Data Input'!F98</f>
        <v>0</v>
      </c>
      <c r="F32" s="118">
        <f>'Data Input'!G97+'Data Input'!G100+'Data Input'!G98</f>
        <v>0</v>
      </c>
      <c r="G32" s="118">
        <f>'Data Input'!H97+'Data Input'!H100+'Data Input'!H98</f>
        <v>0</v>
      </c>
      <c r="H32" s="118">
        <f>'Data Input'!I97+'Data Input'!I100+'Data Input'!I98</f>
        <v>31.83</v>
      </c>
      <c r="I32" s="118">
        <f>'Data Input'!J97+'Data Input'!J100+'Data Input'!J98</f>
        <v>36.619999999999997</v>
      </c>
      <c r="J32" s="118">
        <f>'Data Input'!K97+'Data Input'!K100+'Data Input'!K98</f>
        <v>43.46</v>
      </c>
      <c r="K32" s="118">
        <f>'Data Input'!L97+'Data Input'!L100+'Data Input'!L98</f>
        <v>51.58</v>
      </c>
    </row>
    <row r="33" spans="1:11" x14ac:dyDescent="0.2">
      <c r="A33" s="37" t="s">
        <v>160</v>
      </c>
      <c r="B33" s="39">
        <f>'Data Input'!C136</f>
        <v>0</v>
      </c>
      <c r="C33" s="39">
        <f>'Data Input'!D136</f>
        <v>0</v>
      </c>
      <c r="D33" s="118">
        <f>'Data Input'!E136</f>
        <v>0</v>
      </c>
      <c r="E33" s="118">
        <f>'Data Input'!F136</f>
        <v>0</v>
      </c>
      <c r="F33" s="118">
        <f>'Data Input'!G136</f>
        <v>0</v>
      </c>
      <c r="G33" s="118">
        <f>'Data Input'!H136</f>
        <v>0</v>
      </c>
      <c r="H33" s="118">
        <f>'Data Input'!I136</f>
        <v>0</v>
      </c>
      <c r="I33" s="118">
        <f>'Data Input'!J136</f>
        <v>0</v>
      </c>
      <c r="J33" s="118">
        <f>'Data Input'!K136</f>
        <v>0</v>
      </c>
      <c r="K33" s="118">
        <f>'Data Input'!L136</f>
        <v>0</v>
      </c>
    </row>
    <row r="34" spans="1:11" x14ac:dyDescent="0.2">
      <c r="A34" s="37" t="s">
        <v>161</v>
      </c>
      <c r="B34" s="39">
        <f>'Data Input'!C130</f>
        <v>0</v>
      </c>
      <c r="C34" s="39">
        <f>'Data Input'!D130</f>
        <v>0</v>
      </c>
      <c r="D34" s="118">
        <f>'Data Input'!E130</f>
        <v>0</v>
      </c>
      <c r="E34" s="118">
        <f>'Data Input'!F130</f>
        <v>0</v>
      </c>
      <c r="F34" s="118">
        <f>'Data Input'!G130</f>
        <v>0</v>
      </c>
      <c r="G34" s="118">
        <f>'Data Input'!H130</f>
        <v>0</v>
      </c>
      <c r="H34" s="118">
        <f>'Data Input'!I130</f>
        <v>0</v>
      </c>
      <c r="I34" s="118">
        <f>'Data Input'!J130</f>
        <v>0</v>
      </c>
      <c r="J34" s="118">
        <f>'Data Input'!K130</f>
        <v>0</v>
      </c>
      <c r="K34" s="118">
        <f>'Data Input'!L130</f>
        <v>0</v>
      </c>
    </row>
    <row r="35" spans="1:11" x14ac:dyDescent="0.2">
      <c r="A35" s="37" t="s">
        <v>173</v>
      </c>
      <c r="B35" s="39">
        <f>'Data Input'!C131</f>
        <v>0</v>
      </c>
      <c r="C35" s="39">
        <f>'Data Input'!D131</f>
        <v>0</v>
      </c>
      <c r="D35" s="118">
        <f>'Data Input'!E131</f>
        <v>0</v>
      </c>
      <c r="E35" s="118">
        <f>'Data Input'!F131</f>
        <v>0</v>
      </c>
      <c r="F35" s="118">
        <f>'Data Input'!G131</f>
        <v>0</v>
      </c>
      <c r="G35" s="118">
        <f>'Data Input'!H131</f>
        <v>0</v>
      </c>
      <c r="H35" s="118">
        <f>'Data Input'!I131</f>
        <v>0</v>
      </c>
      <c r="I35" s="118">
        <f>'Data Input'!J131</f>
        <v>0</v>
      </c>
      <c r="J35" s="118">
        <f>'Data Input'!K131</f>
        <v>0</v>
      </c>
      <c r="K35" s="118">
        <f>'Data Input'!L131</f>
        <v>0</v>
      </c>
    </row>
    <row r="36" spans="1:11" x14ac:dyDescent="0.2">
      <c r="A36" s="37" t="s">
        <v>174</v>
      </c>
      <c r="B36" s="39">
        <f>+'Data Input'!C99</f>
        <v>0</v>
      </c>
      <c r="C36" s="39">
        <f>+'Data Input'!D99</f>
        <v>0</v>
      </c>
      <c r="D36" s="118">
        <f>+'Data Input'!E99</f>
        <v>0</v>
      </c>
      <c r="E36" s="118">
        <f>+'Data Input'!F99</f>
        <v>0</v>
      </c>
      <c r="F36" s="118">
        <f>+'Data Input'!G99</f>
        <v>0</v>
      </c>
      <c r="G36" s="118">
        <f>+'Data Input'!H99</f>
        <v>0</v>
      </c>
      <c r="H36" s="118">
        <f>+'Data Input'!I99</f>
        <v>2</v>
      </c>
      <c r="I36" s="118">
        <f>+'Data Input'!J99</f>
        <v>2.2200000000000002</v>
      </c>
      <c r="J36" s="118">
        <f>+'Data Input'!K99</f>
        <v>2.48</v>
      </c>
      <c r="K36" s="118">
        <f>+'Data Input'!L99</f>
        <v>2.91</v>
      </c>
    </row>
    <row r="37" spans="1:11" x14ac:dyDescent="0.2">
      <c r="A37" s="37" t="s">
        <v>245</v>
      </c>
      <c r="B37" s="39">
        <f>B31+B32-B33-B34-B35+B36</f>
        <v>0</v>
      </c>
      <c r="C37" s="39">
        <f t="shared" ref="C37:G37" si="16">C31+C32-C33-C34-C35+C36</f>
        <v>0</v>
      </c>
      <c r="D37" s="118">
        <f t="shared" si="16"/>
        <v>0</v>
      </c>
      <c r="E37" s="118">
        <f t="shared" si="16"/>
        <v>0</v>
      </c>
      <c r="F37" s="118">
        <f t="shared" si="16"/>
        <v>0</v>
      </c>
      <c r="G37" s="118">
        <f t="shared" si="16"/>
        <v>0</v>
      </c>
      <c r="H37" s="118">
        <f t="shared" ref="H37:K37" si="17">H31+H32-H33-H34-H35+H36</f>
        <v>39.159999999999997</v>
      </c>
      <c r="I37" s="118">
        <f t="shared" si="17"/>
        <v>44.169999999999995</v>
      </c>
      <c r="J37" s="118">
        <f t="shared" si="17"/>
        <v>51.269999999999996</v>
      </c>
      <c r="K37" s="118">
        <f t="shared" si="17"/>
        <v>59.819999999999993</v>
      </c>
    </row>
    <row r="38" spans="1:11" x14ac:dyDescent="0.2">
      <c r="A38" s="37" t="s">
        <v>175</v>
      </c>
      <c r="B38" s="39">
        <f>B31+B32+B36-B33</f>
        <v>0</v>
      </c>
      <c r="C38" s="39">
        <f t="shared" ref="C38:G38" si="18">C31+C32+C36-C33</f>
        <v>0</v>
      </c>
      <c r="D38" s="118">
        <f t="shared" si="18"/>
        <v>0</v>
      </c>
      <c r="E38" s="118">
        <f t="shared" si="18"/>
        <v>0</v>
      </c>
      <c r="F38" s="118">
        <f t="shared" si="18"/>
        <v>0</v>
      </c>
      <c r="G38" s="118">
        <f t="shared" si="18"/>
        <v>0</v>
      </c>
      <c r="H38" s="118">
        <f t="shared" ref="H38:K38" si="19">H31+H32+H36-H33</f>
        <v>39.159999999999997</v>
      </c>
      <c r="I38" s="118">
        <f t="shared" si="19"/>
        <v>44.169999999999995</v>
      </c>
      <c r="J38" s="118">
        <f t="shared" si="19"/>
        <v>51.269999999999996</v>
      </c>
      <c r="K38" s="118">
        <f t="shared" si="19"/>
        <v>59.819999999999993</v>
      </c>
    </row>
    <row r="39" spans="1:11" x14ac:dyDescent="0.2">
      <c r="A39" s="37" t="s">
        <v>162</v>
      </c>
      <c r="B39" s="40" t="e">
        <f>'Data Input'!C94/B38</f>
        <v>#DIV/0!</v>
      </c>
      <c r="C39" s="40" t="e">
        <f>'Data Input'!D94/C38</f>
        <v>#DIV/0!</v>
      </c>
      <c r="D39" s="118" t="e">
        <f>'Data Input'!E94/D38</f>
        <v>#DIV/0!</v>
      </c>
      <c r="E39" s="118" t="e">
        <f>'Data Input'!F94/E38</f>
        <v>#DIV/0!</v>
      </c>
      <c r="F39" s="118" t="e">
        <f>'Data Input'!G94/F38</f>
        <v>#DIV/0!</v>
      </c>
      <c r="G39" s="118" t="e">
        <f>'Data Input'!H94/G38</f>
        <v>#DIV/0!</v>
      </c>
      <c r="H39" s="118">
        <f>'Data Input'!I94/H38</f>
        <v>0.29826353421859042</v>
      </c>
      <c r="I39" s="118">
        <f>'Data Input'!J94/I38</f>
        <v>0.20330541091238399</v>
      </c>
      <c r="J39" s="118">
        <f>'Data Input'!K94/J38</f>
        <v>0.15662180612443927</v>
      </c>
      <c r="K39" s="118">
        <f>'Data Input'!L94/K38</f>
        <v>0.11718488799732532</v>
      </c>
    </row>
    <row r="40" spans="1:11" x14ac:dyDescent="0.2">
      <c r="A40" s="37" t="s">
        <v>163</v>
      </c>
      <c r="B40" s="40" t="e">
        <f>'Data Input'!C95/BSA!B38</f>
        <v>#DIV/0!</v>
      </c>
      <c r="C40" s="40" t="e">
        <f>'Data Input'!D95/BSA!C38</f>
        <v>#DIV/0!</v>
      </c>
      <c r="D40" s="118" t="e">
        <f>'Data Input'!E95/BSA!D38</f>
        <v>#DIV/0!</v>
      </c>
      <c r="E40" s="118" t="e">
        <f>'Data Input'!F95/BSA!E38</f>
        <v>#DIV/0!</v>
      </c>
      <c r="F40" s="118" t="e">
        <f>'Data Input'!G95/BSA!F38</f>
        <v>#DIV/0!</v>
      </c>
      <c r="G40" s="118" t="e">
        <f>'Data Input'!H95/BSA!G38</f>
        <v>#DIV/0!</v>
      </c>
      <c r="H40" s="118">
        <f>'Data Input'!I95/BSA!H38</f>
        <v>1.6797752808988766</v>
      </c>
      <c r="I40" s="118">
        <f>'Data Input'!J95/BSA!I38</f>
        <v>1.5453928005433555</v>
      </c>
      <c r="J40" s="118">
        <f>'Data Input'!K95/BSA!J38</f>
        <v>1.8935049736688123</v>
      </c>
      <c r="K40" s="118">
        <f>'Data Input'!L95/BSA!K38</f>
        <v>1.648110999665664</v>
      </c>
    </row>
    <row r="41" spans="1:11" x14ac:dyDescent="0.2">
      <c r="A41" s="37" t="s">
        <v>230</v>
      </c>
      <c r="B41" s="40" t="e">
        <f>('Data Input'!C94-'Data Input'!C93)/(BSA!B38-'Data Input'!C93)</f>
        <v>#DIV/0!</v>
      </c>
      <c r="C41" s="40" t="e">
        <f>('Data Input'!D94-'Data Input'!D93)/(BSA!C38-'Data Input'!D93)</f>
        <v>#DIV/0!</v>
      </c>
      <c r="D41" s="118" t="e">
        <f>('Data Input'!E94-'Data Input'!E93)/(BSA!D38-'Data Input'!E93)</f>
        <v>#DIV/0!</v>
      </c>
      <c r="E41" s="118" t="e">
        <f>('Data Input'!F94-'Data Input'!F93)/(BSA!E38-'Data Input'!F93)</f>
        <v>#DIV/0!</v>
      </c>
      <c r="F41" s="118" t="e">
        <f>('Data Input'!G94-'Data Input'!G93)/(BSA!F38-'Data Input'!G93)</f>
        <v>#DIV/0!</v>
      </c>
      <c r="G41" s="118" t="e">
        <f>('Data Input'!H94-'Data Input'!H93)/(BSA!G38-'Data Input'!H93)</f>
        <v>#DIV/0!</v>
      </c>
      <c r="H41" s="118">
        <f>('Data Input'!I94-'Data Input'!I93)/(BSA!H38-'Data Input'!I93)</f>
        <v>0.29826353421859042</v>
      </c>
      <c r="I41" s="118">
        <f>('Data Input'!J94-'Data Input'!J93)/(BSA!I38-'Data Input'!J93)</f>
        <v>0.20330541091238399</v>
      </c>
      <c r="J41" s="118">
        <f>('Data Input'!K94-'Data Input'!K93)/(BSA!J38-'Data Input'!K93)</f>
        <v>0.15662180612443927</v>
      </c>
      <c r="K41" s="118">
        <f>('Data Input'!L94-'Data Input'!L93)/(BSA!K38-'Data Input'!L93)</f>
        <v>0.11718488799732532</v>
      </c>
    </row>
    <row r="42" spans="1:11" x14ac:dyDescent="0.2">
      <c r="A42" s="37" t="s">
        <v>231</v>
      </c>
      <c r="B42" s="40" t="e">
        <f>('Data Input'!C95-'Data Input'!C93)/(BSA!B38-'Data Input'!C93)</f>
        <v>#DIV/0!</v>
      </c>
      <c r="C42" s="40" t="e">
        <f>('Data Input'!D95-'Data Input'!D93)/(BSA!C38-'Data Input'!D93)</f>
        <v>#DIV/0!</v>
      </c>
      <c r="D42" s="118" t="e">
        <f>('Data Input'!E95-'Data Input'!E93)/(BSA!D38-'Data Input'!E93)</f>
        <v>#DIV/0!</v>
      </c>
      <c r="E42" s="118" t="e">
        <f>('Data Input'!F95-'Data Input'!F93)/(BSA!E38-'Data Input'!F93)</f>
        <v>#DIV/0!</v>
      </c>
      <c r="F42" s="118" t="e">
        <f>('Data Input'!G95-'Data Input'!G93)/(BSA!F38-'Data Input'!G93)</f>
        <v>#DIV/0!</v>
      </c>
      <c r="G42" s="118" t="e">
        <f>('Data Input'!H95-'Data Input'!H93)/(BSA!G38-'Data Input'!H93)</f>
        <v>#DIV/0!</v>
      </c>
      <c r="H42" s="118">
        <f>('Data Input'!I95-'Data Input'!I93)/(BSA!H38-'Data Input'!I93)</f>
        <v>1.6797752808988766</v>
      </c>
      <c r="I42" s="118">
        <f>('Data Input'!J95-'Data Input'!J93)/(BSA!I38-'Data Input'!J93)</f>
        <v>1.5453928005433555</v>
      </c>
      <c r="J42" s="118">
        <f>('Data Input'!K95-'Data Input'!K93)/(BSA!J38-'Data Input'!K93)</f>
        <v>1.8935049736688123</v>
      </c>
      <c r="K42" s="118">
        <f>('Data Input'!L95-'Data Input'!L93)/(BSA!K38-'Data Input'!L93)</f>
        <v>1.648110999665664</v>
      </c>
    </row>
    <row r="43" spans="1:11" x14ac:dyDescent="0.2">
      <c r="A43" s="36" t="s">
        <v>184</v>
      </c>
    </row>
    <row r="44" spans="1:11" x14ac:dyDescent="0.2">
      <c r="A44" s="37" t="s">
        <v>145</v>
      </c>
      <c r="B44" s="39">
        <f>'Data Input'!C122-'Data Input'!C86</f>
        <v>0</v>
      </c>
      <c r="C44" s="39">
        <f>'Data Input'!D122-'Data Input'!D86</f>
        <v>0</v>
      </c>
      <c r="D44" s="118">
        <f>'Data Input'!E122-'Data Input'!E86</f>
        <v>0</v>
      </c>
      <c r="E44" s="118">
        <f>'Data Input'!F122-'Data Input'!F86</f>
        <v>0</v>
      </c>
      <c r="F44" s="118">
        <f>'Data Input'!G122-'Data Input'!G86</f>
        <v>0</v>
      </c>
      <c r="G44" s="118">
        <f>'Data Input'!H122-'Data Input'!H86</f>
        <v>0</v>
      </c>
      <c r="H44" s="118">
        <f>'Data Input'!I122-'Data Input'!I86</f>
        <v>12.46</v>
      </c>
      <c r="I44" s="118">
        <f>'Data Input'!J122-'Data Input'!J86</f>
        <v>18.319999999999993</v>
      </c>
      <c r="J44" s="118">
        <f>'Data Input'!K122-'Data Input'!K86</f>
        <v>27.88000000000001</v>
      </c>
      <c r="K44" s="118">
        <f>'Data Input'!L122-'Data Input'!L86</f>
        <v>38.810000000000016</v>
      </c>
    </row>
    <row r="45" spans="1:11" x14ac:dyDescent="0.2">
      <c r="A45" s="37" t="s">
        <v>164</v>
      </c>
      <c r="B45" s="40" t="e">
        <f>'Data Input'!C122/'Data Input'!C86</f>
        <v>#DIV/0!</v>
      </c>
      <c r="C45" s="40" t="e">
        <f>'Data Input'!D122/'Data Input'!D86</f>
        <v>#DIV/0!</v>
      </c>
      <c r="D45" s="118" t="e">
        <f>'Data Input'!E122/'Data Input'!E86</f>
        <v>#DIV/0!</v>
      </c>
      <c r="E45" s="118" t="e">
        <f>'Data Input'!F122/'Data Input'!F86</f>
        <v>#DIV/0!</v>
      </c>
      <c r="F45" s="118" t="e">
        <f>'Data Input'!G122/'Data Input'!G86</f>
        <v>#DIV/0!</v>
      </c>
      <c r="G45" s="118" t="e">
        <f>'Data Input'!H122/'Data Input'!H86</f>
        <v>#DIV/0!</v>
      </c>
      <c r="H45" s="118">
        <f>'Data Input'!I122/'Data Input'!I86</f>
        <v>1.2303142329020333</v>
      </c>
      <c r="I45" s="118">
        <f>'Data Input'!J122/'Data Input'!J86</f>
        <v>1.3090418353576248</v>
      </c>
      <c r="J45" s="118">
        <f>'Data Input'!K122/'Data Input'!K86</f>
        <v>1.3130825379000564</v>
      </c>
      <c r="K45" s="118">
        <f>'Data Input'!L122/'Data Input'!L86</f>
        <v>1.4237824852587904</v>
      </c>
    </row>
    <row r="46" spans="1:11" x14ac:dyDescent="0.2">
      <c r="A46" s="37" t="s">
        <v>165</v>
      </c>
      <c r="B46" s="40" t="e">
        <f>(BSA!B15+BSA!B8+BSA!B17)/('Data Input'!C79+BSA!B8)</f>
        <v>#DIV/0!</v>
      </c>
      <c r="C46" s="40" t="e">
        <f>(BSA!C15+BSA!C8+BSA!C17)/('Data Input'!D79+BSA!C8)</f>
        <v>#DIV/0!</v>
      </c>
      <c r="D46" s="118" t="e">
        <f>(BSA!D15+BSA!D8+BSA!D17)/('Data Input'!E79+BSA!D8)</f>
        <v>#DIV/0!</v>
      </c>
      <c r="E46" s="118" t="e">
        <f>(BSA!E15+BSA!E8+BSA!E17)/('Data Input'!F79+BSA!E8)</f>
        <v>#DIV/0!</v>
      </c>
      <c r="F46" s="118" t="e">
        <f>(BSA!F15+BSA!F8+BSA!F17)/('Data Input'!G79+BSA!F8)</f>
        <v>#DIV/0!</v>
      </c>
      <c r="G46" s="118" t="e">
        <f>(BSA!G15+BSA!G8+BSA!G17)/('Data Input'!H79+BSA!G8)</f>
        <v>#DIV/0!</v>
      </c>
      <c r="H46" s="118">
        <f>(BSA!H15+BSA!H8+BSA!H17)/('Data Input'!I79+BSA!H8)</f>
        <v>3.0753424657534469</v>
      </c>
      <c r="I46" s="118">
        <f>(BSA!I15+BSA!I8+BSA!I17)/('Data Input'!J79+BSA!I8)</f>
        <v>2.9632107023411409</v>
      </c>
      <c r="J46" s="118">
        <f>(BSA!J15+BSA!J8+BSA!J17)/('Data Input'!K79+BSA!J8)</f>
        <v>8.4959349593496771</v>
      </c>
      <c r="K46" s="118">
        <f>(BSA!K15+BSA!K8+BSA!K17)/('Data Input'!L79+BSA!K8)</f>
        <v>10.210526315789499</v>
      </c>
    </row>
    <row r="47" spans="1:11" x14ac:dyDescent="0.2">
      <c r="A47" s="36" t="s">
        <v>185</v>
      </c>
    </row>
    <row r="48" spans="1:11" x14ac:dyDescent="0.2">
      <c r="A48" s="37" t="s">
        <v>166</v>
      </c>
      <c r="B48" s="40" t="e">
        <f>+B22/'Data Input'!C101</f>
        <v>#DIV/0!</v>
      </c>
      <c r="C48" s="40" t="e">
        <f>+C22/'Data Input'!D101</f>
        <v>#DIV/0!</v>
      </c>
      <c r="D48" s="118" t="e">
        <f>+D22/'Data Input'!E101</f>
        <v>#DIV/0!</v>
      </c>
      <c r="E48" s="118" t="e">
        <f>+E22/'Data Input'!F101</f>
        <v>#DIV/0!</v>
      </c>
      <c r="F48" s="118" t="e">
        <f>+F22/'Data Input'!G101</f>
        <v>#DIV/0!</v>
      </c>
      <c r="G48" s="118" t="e">
        <f>+G22/'Data Input'!H101</f>
        <v>#DIV/0!</v>
      </c>
      <c r="H48" s="118">
        <f>+H22/'Data Input'!I101</f>
        <v>14.412155260469868</v>
      </c>
      <c r="I48" s="118">
        <f>+I22/'Data Input'!J101</f>
        <v>10.666062938646141</v>
      </c>
      <c r="J48" s="118">
        <f>+J22/'Data Input'!K101</f>
        <v>10.315584162278135</v>
      </c>
      <c r="K48" s="118">
        <f>+K22/'Data Input'!L101</f>
        <v>10.09595453025744</v>
      </c>
    </row>
    <row r="49" spans="1:11" x14ac:dyDescent="0.2">
      <c r="A49" s="37" t="s">
        <v>188</v>
      </c>
      <c r="B49" s="40" t="e">
        <f>+B22/('Data Input'!C101+'Data Input'!C94)</f>
        <v>#DIV/0!</v>
      </c>
      <c r="C49" s="40" t="e">
        <f>+C22/('Data Input'!D101+'Data Input'!D94)</f>
        <v>#DIV/0!</v>
      </c>
      <c r="D49" s="118" t="e">
        <f>+D22/('Data Input'!E101+'Data Input'!E94)</f>
        <v>#DIV/0!</v>
      </c>
      <c r="E49" s="118" t="e">
        <f>+E22/('Data Input'!F101+'Data Input'!F94)</f>
        <v>#DIV/0!</v>
      </c>
      <c r="F49" s="118" t="e">
        <f>+F22/('Data Input'!G101+'Data Input'!G94)</f>
        <v>#DIV/0!</v>
      </c>
      <c r="G49" s="118" t="e">
        <f>+G22/('Data Input'!H101+'Data Input'!H94)</f>
        <v>#DIV/0!</v>
      </c>
      <c r="H49" s="118">
        <f>+H22/('Data Input'!I101+'Data Input'!I94)</f>
        <v>11.101101494885917</v>
      </c>
      <c r="I49" s="118">
        <f>+I22/('Data Input'!J101+'Data Input'!J94)</f>
        <v>8.8639698965192864</v>
      </c>
      <c r="J49" s="118">
        <f>+J22/('Data Input'!K101+'Data Input'!K94)</f>
        <v>8.9187183811129849</v>
      </c>
      <c r="K49" s="118">
        <f>+K22/('Data Input'!L101+'Data Input'!L94)</f>
        <v>9.0369594493490961</v>
      </c>
    </row>
    <row r="50" spans="1:11" x14ac:dyDescent="0.2">
      <c r="A50" s="37" t="s">
        <v>187</v>
      </c>
      <c r="B50" s="40" t="e">
        <f>+B22/'Data Input'!C137</f>
        <v>#DIV/0!</v>
      </c>
      <c r="C50" s="40" t="e">
        <f>+C22/'Data Input'!D137</f>
        <v>#DIV/0!</v>
      </c>
      <c r="D50" s="118" t="e">
        <f>+D22/'Data Input'!E137</f>
        <v>#DIV/0!</v>
      </c>
      <c r="E50" s="118" t="e">
        <f>+E22/'Data Input'!F137</f>
        <v>#DIV/0!</v>
      </c>
      <c r="F50" s="118" t="e">
        <f>+F22/'Data Input'!G137</f>
        <v>#DIV/0!</v>
      </c>
      <c r="G50" s="118" t="e">
        <f>+G22/'Data Input'!H137</f>
        <v>#DIV/0!</v>
      </c>
      <c r="H50" s="118">
        <f>+H22/'Data Input'!I137</f>
        <v>5.37812083095102</v>
      </c>
      <c r="I50" s="118">
        <f>+I22/'Data Input'!J137</f>
        <v>4.1903406564084316</v>
      </c>
      <c r="J50" s="118">
        <f>+J22/'Data Input'!K137</f>
        <v>3.5650825749915742</v>
      </c>
      <c r="K50" s="118">
        <f>+K22/'Data Input'!L137</f>
        <v>3.8125118363739658</v>
      </c>
    </row>
    <row r="51" spans="1:11" x14ac:dyDescent="0.2">
      <c r="A51" s="36" t="s">
        <v>186</v>
      </c>
    </row>
    <row r="52" spans="1:11" x14ac:dyDescent="0.2">
      <c r="A52" s="37" t="s">
        <v>167</v>
      </c>
      <c r="B52" s="40" t="e">
        <f>+B44/'Data Input'!C122</f>
        <v>#DIV/0!</v>
      </c>
      <c r="C52" s="40" t="e">
        <f>+C44/'Data Input'!D122</f>
        <v>#DIV/0!</v>
      </c>
      <c r="D52" s="118" t="e">
        <f>+D44/'Data Input'!E122</f>
        <v>#DIV/0!</v>
      </c>
      <c r="E52" s="118" t="e">
        <f>+E44/'Data Input'!F122</f>
        <v>#DIV/0!</v>
      </c>
      <c r="F52" s="118" t="e">
        <f>+F44/'Data Input'!G122</f>
        <v>#DIV/0!</v>
      </c>
      <c r="G52" s="118" t="e">
        <f>+G44/'Data Input'!H122</f>
        <v>#DIV/0!</v>
      </c>
      <c r="H52" s="118">
        <f>+H44/'Data Input'!I122</f>
        <v>0.18719951923076925</v>
      </c>
      <c r="I52" s="118">
        <f>+I44/'Data Input'!J122</f>
        <v>0.23608247422680406</v>
      </c>
      <c r="J52" s="118">
        <f>+J44/'Data Input'!K122</f>
        <v>0.23843325066278978</v>
      </c>
      <c r="K52" s="118">
        <f>+K44/'Data Input'!L122</f>
        <v>0.29764552496357094</v>
      </c>
    </row>
    <row r="53" spans="1:11" x14ac:dyDescent="0.2">
      <c r="A53" s="37" t="s">
        <v>168</v>
      </c>
      <c r="B53" s="40" t="e">
        <f>+'Data Input'!C112/BSA!B22</f>
        <v>#DIV/0!</v>
      </c>
      <c r="C53" s="40" t="e">
        <f>+'Data Input'!D112/BSA!C22</f>
        <v>#DIV/0!</v>
      </c>
      <c r="D53" s="118" t="e">
        <f>+'Data Input'!E112/BSA!D22</f>
        <v>#DIV/0!</v>
      </c>
      <c r="E53" s="118" t="e">
        <f>+'Data Input'!F112/BSA!E22</f>
        <v>#DIV/0!</v>
      </c>
      <c r="F53" s="118" t="e">
        <f>+'Data Input'!G112/BSA!F22</f>
        <v>#DIV/0!</v>
      </c>
      <c r="G53" s="118" t="e">
        <f>+'Data Input'!H112/BSA!G22</f>
        <v>#DIV/0!</v>
      </c>
      <c r="H53" s="118">
        <f>+'Data Input'!I112/BSA!H22</f>
        <v>6.4566426875509411E-2</v>
      </c>
      <c r="I53" s="118">
        <f>+'Data Input'!J112/BSA!I22</f>
        <v>7.4524537272881636E-2</v>
      </c>
      <c r="J53" s="118">
        <f>+'Data Input'!K112/BSA!J22</f>
        <v>0.10860686734230827</v>
      </c>
      <c r="K53" s="118">
        <f>+'Data Input'!L112/BSA!K22</f>
        <v>0.1083220187435838</v>
      </c>
    </row>
    <row r="54" spans="1:11" x14ac:dyDescent="0.2">
      <c r="A54" s="37" t="s">
        <v>169</v>
      </c>
      <c r="B54" s="40" t="e">
        <f>'Data Input'!C109+'Data Input'!C129/B22</f>
        <v>#DIV/0!</v>
      </c>
      <c r="C54" s="40" t="e">
        <f>'Data Input'!D109+'Data Input'!D129/C22</f>
        <v>#DIV/0!</v>
      </c>
      <c r="D54" s="118" t="e">
        <f>'Data Input'!E109+'Data Input'!E129/D22</f>
        <v>#DIV/0!</v>
      </c>
      <c r="E54" s="118" t="e">
        <f>'Data Input'!F109+'Data Input'!F129/E22</f>
        <v>#DIV/0!</v>
      </c>
      <c r="F54" s="118" t="e">
        <f>'Data Input'!G109+'Data Input'!G129/F22</f>
        <v>#DIV/0!</v>
      </c>
      <c r="G54" s="118" t="e">
        <f>'Data Input'!H109+'Data Input'!H129/G22</f>
        <v>#DIV/0!</v>
      </c>
      <c r="H54" s="118">
        <f>'Data Input'!I109+'Data Input'!I129/H22</f>
        <v>18.809999999999999</v>
      </c>
      <c r="I54" s="118">
        <f>'Data Input'!J109+'Data Input'!J129/I22</f>
        <v>30.67</v>
      </c>
      <c r="J54" s="118">
        <f>'Data Input'!K109+'Data Input'!K129/J22</f>
        <v>37.04</v>
      </c>
      <c r="K54" s="118">
        <f>'Data Input'!L109+'Data Input'!L129/K22</f>
        <v>42.29</v>
      </c>
    </row>
    <row r="55" spans="1:11" x14ac:dyDescent="0.2">
      <c r="A55" s="37" t="s">
        <v>170</v>
      </c>
      <c r="B55" s="40" t="e">
        <f>'Data Input'!C75+'Data Input'!C76+'Data Input'!C77/B22</f>
        <v>#DIV/0!</v>
      </c>
      <c r="C55" s="40" t="e">
        <f>'Data Input'!D75+'Data Input'!D76/C22</f>
        <v>#DIV/0!</v>
      </c>
      <c r="D55" s="118" t="e">
        <f>'Data Input'!E75+'Data Input'!E76/D22</f>
        <v>#DIV/0!</v>
      </c>
      <c r="E55" s="118" t="e">
        <f>'Data Input'!F75+'Data Input'!F76/E22</f>
        <v>#DIV/0!</v>
      </c>
      <c r="F55" s="118" t="e">
        <f>'Data Input'!G75+'Data Input'!G76/F22</f>
        <v>#DIV/0!</v>
      </c>
      <c r="G55" s="118" t="e">
        <f>'Data Input'!H75+'Data Input'!H76/G22</f>
        <v>#DIV/0!</v>
      </c>
      <c r="H55" s="118">
        <f>'Data Input'!I75+'Data Input'!I76/H22</f>
        <v>17.22</v>
      </c>
      <c r="I55" s="118">
        <f>'Data Input'!J75+'Data Input'!J76/I22</f>
        <v>10.35</v>
      </c>
      <c r="J55" s="118">
        <f>'Data Input'!K75+'Data Input'!K76/J22</f>
        <v>10.469999999999999</v>
      </c>
      <c r="K55" s="118">
        <f>'Data Input'!L75+'Data Input'!L76/K22</f>
        <v>11.760000000000002</v>
      </c>
    </row>
    <row r="56" spans="1:11" x14ac:dyDescent="0.2">
      <c r="A56" s="37" t="s">
        <v>171</v>
      </c>
      <c r="B56" s="40" t="e">
        <f>+'Data Input'!C74/B22</f>
        <v>#DIV/0!</v>
      </c>
      <c r="C56" s="40" t="e">
        <f>+'Data Input'!D74/C22</f>
        <v>#DIV/0!</v>
      </c>
      <c r="D56" s="118" t="e">
        <f>+'Data Input'!E74/D22</f>
        <v>#DIV/0!</v>
      </c>
      <c r="E56" s="118" t="e">
        <f>+'Data Input'!F74/E22</f>
        <v>#DIV/0!</v>
      </c>
      <c r="F56" s="118" t="e">
        <f>+'Data Input'!G74/F22</f>
        <v>#DIV/0!</v>
      </c>
      <c r="G56" s="118" t="e">
        <f>+'Data Input'!H74/G22</f>
        <v>#DIV/0!</v>
      </c>
      <c r="H56" s="118">
        <f>+'Data Input'!I74/H22</f>
        <v>3.3931039370636802E-2</v>
      </c>
      <c r="I56" s="118">
        <f>+'Data Input'!J74/I22</f>
        <v>7.325097639667176E-2</v>
      </c>
      <c r="J56" s="118">
        <f>+'Data Input'!K74/J22</f>
        <v>0.13235516563303584</v>
      </c>
      <c r="K56" s="118">
        <f>+'Data Input'!L74/K22</f>
        <v>0.11590555353180779</v>
      </c>
    </row>
    <row r="57" spans="1:11" x14ac:dyDescent="0.2">
      <c r="A57" s="36" t="s">
        <v>232</v>
      </c>
    </row>
    <row r="58" spans="1:11" x14ac:dyDescent="0.2">
      <c r="A58" s="39" t="s">
        <v>233</v>
      </c>
      <c r="B58" s="40" t="s">
        <v>248</v>
      </c>
      <c r="C58" s="39">
        <f>+B66</f>
        <v>0</v>
      </c>
      <c r="D58" s="118">
        <f t="shared" ref="D58:G58" si="20">+C66</f>
        <v>0</v>
      </c>
      <c r="E58" s="118">
        <f t="shared" si="20"/>
        <v>0</v>
      </c>
      <c r="F58" s="118">
        <f t="shared" si="20"/>
        <v>0</v>
      </c>
      <c r="G58" s="118">
        <f t="shared" si="20"/>
        <v>0</v>
      </c>
      <c r="H58" s="118">
        <f>+G66</f>
        <v>0</v>
      </c>
      <c r="I58" s="118">
        <f t="shared" ref="I58" si="21">+H66</f>
        <v>12.46</v>
      </c>
      <c r="J58" s="118">
        <f t="shared" ref="J58" si="22">+I66</f>
        <v>18.319999999999993</v>
      </c>
      <c r="K58" s="118">
        <f t="shared" ref="K58" si="23">+J66</f>
        <v>27.880000000000003</v>
      </c>
    </row>
    <row r="59" spans="1:11" x14ac:dyDescent="0.2">
      <c r="A59" s="39" t="s">
        <v>234</v>
      </c>
      <c r="B59" s="40" t="s">
        <v>248</v>
      </c>
      <c r="C59" s="39">
        <f>'Data Input'!D101-'Data Input'!C101</f>
        <v>0</v>
      </c>
      <c r="D59" s="118">
        <f>'Data Input'!E101-'Data Input'!D101</f>
        <v>0</v>
      </c>
      <c r="E59" s="118">
        <f>'Data Input'!F101-'Data Input'!E101</f>
        <v>0</v>
      </c>
      <c r="F59" s="118">
        <f>'Data Input'!G101-'Data Input'!F101</f>
        <v>0</v>
      </c>
      <c r="G59" s="118">
        <f>'Data Input'!H101-'Data Input'!G101</f>
        <v>0</v>
      </c>
      <c r="H59" s="118">
        <f>'Data Input'!I101-'Data Input'!H101</f>
        <v>39.159999999999997</v>
      </c>
      <c r="I59" s="118">
        <f>'Data Input'!J101-'Data Input'!I101</f>
        <v>5.009999999999998</v>
      </c>
      <c r="J59" s="118">
        <f>'Data Input'!K101-'Data Input'!J101</f>
        <v>7.1000000000000014</v>
      </c>
      <c r="K59" s="118">
        <f>'Data Input'!L101-'Data Input'!K101</f>
        <v>8.5499999999999972</v>
      </c>
    </row>
    <row r="60" spans="1:11" x14ac:dyDescent="0.2">
      <c r="A60" s="39" t="s">
        <v>235</v>
      </c>
      <c r="B60" s="40" t="s">
        <v>248</v>
      </c>
      <c r="C60" s="39">
        <f>'Data Input'!D94-'Data Input'!C94</f>
        <v>0</v>
      </c>
      <c r="D60" s="118">
        <f>'Data Input'!E94-'Data Input'!D94</f>
        <v>0</v>
      </c>
      <c r="E60" s="118">
        <f>'Data Input'!F94-'Data Input'!E94</f>
        <v>0</v>
      </c>
      <c r="F60" s="118">
        <f>'Data Input'!G94-'Data Input'!F94</f>
        <v>0</v>
      </c>
      <c r="G60" s="118">
        <f>'Data Input'!H94-'Data Input'!G94</f>
        <v>0</v>
      </c>
      <c r="H60" s="118">
        <f>'Data Input'!I94-'Data Input'!H94</f>
        <v>11.68</v>
      </c>
      <c r="I60" s="118">
        <f>'Data Input'!J94-'Data Input'!I94</f>
        <v>-2.6999999999999993</v>
      </c>
      <c r="J60" s="118">
        <f>'Data Input'!K94-'Data Input'!J94</f>
        <v>-0.94999999999999929</v>
      </c>
      <c r="K60" s="118">
        <f>'Data Input'!L94-'Data Input'!K94</f>
        <v>-1.0200000000000014</v>
      </c>
    </row>
    <row r="61" spans="1:11" x14ac:dyDescent="0.2">
      <c r="A61" s="38" t="s">
        <v>19</v>
      </c>
      <c r="B61" s="40" t="s">
        <v>248</v>
      </c>
      <c r="C61" s="39">
        <f>+C58+C59+C60</f>
        <v>0</v>
      </c>
      <c r="D61" s="118">
        <f t="shared" ref="D61:G61" si="24">+D58+D59+D60</f>
        <v>0</v>
      </c>
      <c r="E61" s="118">
        <f t="shared" si="24"/>
        <v>0</v>
      </c>
      <c r="F61" s="118">
        <f t="shared" si="24"/>
        <v>0</v>
      </c>
      <c r="G61" s="118">
        <f t="shared" si="24"/>
        <v>0</v>
      </c>
      <c r="H61" s="118">
        <f t="shared" ref="H61:K61" si="25">+H58+H59+H60</f>
        <v>50.839999999999996</v>
      </c>
      <c r="I61" s="118">
        <f t="shared" si="25"/>
        <v>14.77</v>
      </c>
      <c r="J61" s="118">
        <f t="shared" si="25"/>
        <v>24.469999999999995</v>
      </c>
      <c r="K61" s="118">
        <f t="shared" si="25"/>
        <v>35.409999999999997</v>
      </c>
    </row>
    <row r="62" spans="1:11" x14ac:dyDescent="0.2">
      <c r="A62" s="39" t="s">
        <v>236</v>
      </c>
      <c r="B62" s="40" t="s">
        <v>248</v>
      </c>
      <c r="C62" s="39">
        <f>'Data Input'!D126-'Data Input'!C126</f>
        <v>0</v>
      </c>
      <c r="D62" s="118">
        <f>'Data Input'!E126-'Data Input'!D126</f>
        <v>0</v>
      </c>
      <c r="E62" s="118">
        <f>'Data Input'!F126-'Data Input'!E126</f>
        <v>0</v>
      </c>
      <c r="F62" s="118">
        <f>'Data Input'!G126-'Data Input'!F126</f>
        <v>0</v>
      </c>
      <c r="G62" s="118">
        <f>'Data Input'!H126-'Data Input'!G126</f>
        <v>0</v>
      </c>
      <c r="H62" s="118">
        <f>'Data Input'!I126-'Data Input'!H126</f>
        <v>34.29</v>
      </c>
      <c r="I62" s="118">
        <f>'Data Input'!J126-'Data Input'!I126</f>
        <v>0.50000000000000711</v>
      </c>
      <c r="J62" s="118">
        <f>'Data Input'!K126-'Data Input'!J126</f>
        <v>-3.4000000000000057</v>
      </c>
      <c r="K62" s="118">
        <f>'Data Input'!L126-'Data Input'!K126</f>
        <v>-3.4000000000000021</v>
      </c>
    </row>
    <row r="63" spans="1:11" x14ac:dyDescent="0.2">
      <c r="A63" s="39" t="s">
        <v>237</v>
      </c>
      <c r="B63" s="40" t="s">
        <v>248</v>
      </c>
      <c r="C63" s="39">
        <f>'Data Input'!D135-'Data Input'!C135</f>
        <v>0</v>
      </c>
      <c r="D63" s="118">
        <f>'Data Input'!E135-'Data Input'!D135</f>
        <v>0</v>
      </c>
      <c r="E63" s="118">
        <f>'Data Input'!F135-'Data Input'!E135</f>
        <v>0</v>
      </c>
      <c r="F63" s="118">
        <f>'Data Input'!G135-'Data Input'!F135</f>
        <v>0</v>
      </c>
      <c r="G63" s="118">
        <f>'Data Input'!H135-'Data Input'!G135</f>
        <v>0</v>
      </c>
      <c r="H63" s="118">
        <f>'Data Input'!I135-'Data Input'!H135</f>
        <v>4.09</v>
      </c>
      <c r="I63" s="118">
        <f>'Data Input'!J135-'Data Input'!I135</f>
        <v>-4.05</v>
      </c>
      <c r="J63" s="118">
        <f>'Data Input'!K135-'Data Input'!J135</f>
        <v>-1.0000000000000002E-2</v>
      </c>
      <c r="K63" s="118">
        <f>'Data Input'!L135-'Data Input'!K135</f>
        <v>0</v>
      </c>
    </row>
    <row r="64" spans="1:11" x14ac:dyDescent="0.2">
      <c r="A64" s="39" t="s">
        <v>238</v>
      </c>
      <c r="B64" s="40" t="s">
        <v>248</v>
      </c>
      <c r="C64" s="39">
        <f>'Data Input'!D136-'Data Input'!C136</f>
        <v>0</v>
      </c>
      <c r="D64" s="118">
        <f>'Data Input'!E136-'Data Input'!D136</f>
        <v>0</v>
      </c>
      <c r="E64" s="118">
        <f>'Data Input'!F136-'Data Input'!E136</f>
        <v>0</v>
      </c>
      <c r="F64" s="118">
        <f>'Data Input'!G136-'Data Input'!F136</f>
        <v>0</v>
      </c>
      <c r="G64" s="118">
        <f>'Data Input'!H136-'Data Input'!G136</f>
        <v>0</v>
      </c>
      <c r="H64" s="118">
        <f>'Data Input'!I136-'Data Input'!H136</f>
        <v>0</v>
      </c>
      <c r="I64" s="118">
        <f>'Data Input'!J136-'Data Input'!I136</f>
        <v>0</v>
      </c>
      <c r="J64" s="118">
        <f>'Data Input'!K136-'Data Input'!J136</f>
        <v>0</v>
      </c>
      <c r="K64" s="118">
        <f>'Data Input'!L136-'Data Input'!K136</f>
        <v>0</v>
      </c>
    </row>
    <row r="65" spans="1:11" x14ac:dyDescent="0.2">
      <c r="A65" s="38" t="s">
        <v>19</v>
      </c>
      <c r="B65" s="40" t="s">
        <v>248</v>
      </c>
      <c r="C65" s="39">
        <f>SUM(C62:C64)</f>
        <v>0</v>
      </c>
      <c r="D65" s="118">
        <f t="shared" ref="D65:G65" si="26">SUM(D62:D64)</f>
        <v>0</v>
      </c>
      <c r="E65" s="118">
        <f t="shared" si="26"/>
        <v>0</v>
      </c>
      <c r="F65" s="118">
        <f t="shared" si="26"/>
        <v>0</v>
      </c>
      <c r="G65" s="118">
        <f t="shared" si="26"/>
        <v>0</v>
      </c>
      <c r="H65" s="118">
        <f t="shared" ref="H65:K65" si="27">SUM(H62:H64)</f>
        <v>38.379999999999995</v>
      </c>
      <c r="I65" s="118">
        <f t="shared" si="27"/>
        <v>-3.5499999999999927</v>
      </c>
      <c r="J65" s="118">
        <f t="shared" si="27"/>
        <v>-3.4100000000000055</v>
      </c>
      <c r="K65" s="118">
        <f t="shared" si="27"/>
        <v>-3.4000000000000021</v>
      </c>
    </row>
    <row r="66" spans="1:11" x14ac:dyDescent="0.2">
      <c r="A66" s="38" t="s">
        <v>239</v>
      </c>
      <c r="B66" s="42">
        <f>+B44</f>
        <v>0</v>
      </c>
      <c r="C66" s="42">
        <f>+C61-C65</f>
        <v>0</v>
      </c>
      <c r="D66" s="117">
        <f t="shared" ref="D66:G66" si="28">+D61-D65</f>
        <v>0</v>
      </c>
      <c r="E66" s="117">
        <f t="shared" si="28"/>
        <v>0</v>
      </c>
      <c r="F66" s="117">
        <f t="shared" si="28"/>
        <v>0</v>
      </c>
      <c r="G66" s="117">
        <f t="shared" si="28"/>
        <v>0</v>
      </c>
      <c r="H66" s="117">
        <f t="shared" ref="H66:K66" si="29">+H61-H65</f>
        <v>12.46</v>
      </c>
      <c r="I66" s="117">
        <f t="shared" si="29"/>
        <v>18.319999999999993</v>
      </c>
      <c r="J66" s="117">
        <f t="shared" si="29"/>
        <v>27.880000000000003</v>
      </c>
      <c r="K66" s="117">
        <f t="shared" si="29"/>
        <v>38.81</v>
      </c>
    </row>
    <row r="67" spans="1:11" x14ac:dyDescent="0.2">
      <c r="A67" s="42" t="s">
        <v>240</v>
      </c>
    </row>
    <row r="68" spans="1:11" x14ac:dyDescent="0.2">
      <c r="A68" s="40" t="s">
        <v>265</v>
      </c>
      <c r="B68" s="40" t="s">
        <v>248</v>
      </c>
      <c r="C68" s="39">
        <f>+B71</f>
        <v>0</v>
      </c>
      <c r="D68" s="118">
        <f t="shared" ref="D68:G68" si="30">+C71</f>
        <v>0</v>
      </c>
      <c r="E68" s="118">
        <f t="shared" si="30"/>
        <v>0</v>
      </c>
      <c r="F68" s="118">
        <f t="shared" si="30"/>
        <v>0</v>
      </c>
      <c r="G68" s="118">
        <f t="shared" si="30"/>
        <v>0</v>
      </c>
      <c r="H68" s="118">
        <f>+G71</f>
        <v>0</v>
      </c>
      <c r="I68" s="118">
        <f t="shared" ref="I68" si="31">+H71</f>
        <v>39.159999999999997</v>
      </c>
      <c r="J68" s="118">
        <f t="shared" ref="J68" si="32">+I71</f>
        <v>44.169999999999995</v>
      </c>
      <c r="K68" s="118">
        <f t="shared" ref="K68" si="33">+J71</f>
        <v>51.269999999999996</v>
      </c>
    </row>
    <row r="69" spans="1:11" x14ac:dyDescent="0.2">
      <c r="A69" s="40" t="s">
        <v>267</v>
      </c>
      <c r="B69" s="40" t="s">
        <v>248</v>
      </c>
      <c r="C69" s="39">
        <f>'Data Input'!D101-'Data Input'!C101</f>
        <v>0</v>
      </c>
      <c r="D69" s="118">
        <f>'Data Input'!E101-'Data Input'!D101</f>
        <v>0</v>
      </c>
      <c r="E69" s="118">
        <f>'Data Input'!F101-'Data Input'!E101</f>
        <v>0</v>
      </c>
      <c r="F69" s="118">
        <f>'Data Input'!G101-'Data Input'!F101</f>
        <v>0</v>
      </c>
      <c r="G69" s="118">
        <f>'Data Input'!H101-'Data Input'!G101</f>
        <v>0</v>
      </c>
      <c r="H69" s="118">
        <f>'Data Input'!I101-'Data Input'!H101</f>
        <v>39.159999999999997</v>
      </c>
      <c r="I69" s="118">
        <f>'Data Input'!J101-'Data Input'!I101</f>
        <v>5.009999999999998</v>
      </c>
      <c r="J69" s="118">
        <f>'Data Input'!K101-'Data Input'!J101</f>
        <v>7.1000000000000014</v>
      </c>
      <c r="K69" s="118">
        <f>'Data Input'!L101-'Data Input'!K101</f>
        <v>8.5499999999999972</v>
      </c>
    </row>
    <row r="70" spans="1:11" x14ac:dyDescent="0.2">
      <c r="A70" s="40" t="s">
        <v>266</v>
      </c>
      <c r="B70" s="40" t="s">
        <v>248</v>
      </c>
      <c r="C70" s="39">
        <f>+C68+C69-C71</f>
        <v>0</v>
      </c>
      <c r="D70" s="118">
        <f t="shared" ref="D70:G70" si="34">+D68+D69-D71</f>
        <v>0</v>
      </c>
      <c r="E70" s="118">
        <f t="shared" si="34"/>
        <v>0</v>
      </c>
      <c r="F70" s="118">
        <f t="shared" si="34"/>
        <v>0</v>
      </c>
      <c r="G70" s="118">
        <f t="shared" si="34"/>
        <v>0</v>
      </c>
      <c r="H70" s="118">
        <f t="shared" ref="H70:K70" si="35">+H68+H69-H71</f>
        <v>0</v>
      </c>
      <c r="I70" s="118">
        <f t="shared" si="35"/>
        <v>0</v>
      </c>
      <c r="J70" s="118">
        <f t="shared" si="35"/>
        <v>0</v>
      </c>
      <c r="K70" s="118">
        <f t="shared" si="35"/>
        <v>0</v>
      </c>
    </row>
    <row r="71" spans="1:11" x14ac:dyDescent="0.2">
      <c r="A71" s="38" t="s">
        <v>268</v>
      </c>
      <c r="B71" s="42">
        <f>+B38</f>
        <v>0</v>
      </c>
      <c r="C71" s="42">
        <f>+C38</f>
        <v>0</v>
      </c>
      <c r="D71" s="117">
        <f t="shared" ref="D71:G71" si="36">+D38</f>
        <v>0</v>
      </c>
      <c r="E71" s="117">
        <f t="shared" si="36"/>
        <v>0</v>
      </c>
      <c r="F71" s="117">
        <f t="shared" si="36"/>
        <v>0</v>
      </c>
      <c r="G71" s="117">
        <f t="shared" si="36"/>
        <v>0</v>
      </c>
      <c r="H71" s="117">
        <f t="shared" ref="H71:K71" si="37">+H38</f>
        <v>39.159999999999997</v>
      </c>
      <c r="I71" s="117">
        <f t="shared" si="37"/>
        <v>44.169999999999995</v>
      </c>
      <c r="J71" s="117">
        <f t="shared" si="37"/>
        <v>51.269999999999996</v>
      </c>
      <c r="K71" s="117">
        <f t="shared" si="37"/>
        <v>59.819999999999993</v>
      </c>
    </row>
  </sheetData>
  <mergeCells count="4">
    <mergeCell ref="A4:A5"/>
    <mergeCell ref="A3:G3"/>
    <mergeCell ref="A1:G1"/>
    <mergeCell ref="A2:G2"/>
  </mergeCells>
  <pageMargins left="0.7" right="0.7" top="0.75" bottom="0.75" header="0.3" footer="0.3"/>
  <pageSetup scale="72" orientation="landscape" horizontalDpi="4294967295" verticalDpi="4294967295" r:id="rId1"/>
  <rowBreaks count="1" manualBreakCount="1">
    <brk id="42" max="16383" man="1"/>
  </rowBreaks>
  <colBreaks count="1" manualBreakCount="1">
    <brk id="10" max="7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3"/>
  <sheetViews>
    <sheetView topLeftCell="A43" zoomScale="160" zoomScaleNormal="160" zoomScaleSheetLayoutView="100" workbookViewId="0">
      <selection activeCell="F22" sqref="F22"/>
    </sheetView>
  </sheetViews>
  <sheetFormatPr defaultColWidth="9.140625" defaultRowHeight="12.75" x14ac:dyDescent="0.2"/>
  <cols>
    <col min="1" max="1" width="27.5703125" style="3" bestFit="1" customWidth="1"/>
    <col min="2" max="4" width="10.7109375" style="3" hidden="1" customWidth="1"/>
    <col min="5" max="9" width="10.7109375" style="3" customWidth="1"/>
    <col min="10" max="16384" width="9.140625" style="3"/>
  </cols>
  <sheetData>
    <row r="1" spans="1:13" ht="14.25" x14ac:dyDescent="0.2">
      <c r="A1" s="176" t="str">
        <f>+'Data Input'!B5</f>
        <v>Punjab National Bank</v>
      </c>
      <c r="B1" s="176"/>
      <c r="C1" s="176"/>
      <c r="D1" s="176"/>
      <c r="E1" s="176"/>
      <c r="F1" s="176"/>
    </row>
    <row r="2" spans="1:13" ht="14.25" x14ac:dyDescent="0.2">
      <c r="A2" s="176" t="str">
        <f>+'Data Input'!B6</f>
        <v>MCC Durgapur</v>
      </c>
      <c r="B2" s="176"/>
      <c r="C2" s="176"/>
      <c r="D2" s="176"/>
      <c r="E2" s="176"/>
      <c r="F2" s="176"/>
    </row>
    <row r="3" spans="1:13" ht="14.25" x14ac:dyDescent="0.2">
      <c r="A3" s="176" t="str">
        <f>+'Data Input'!B7</f>
        <v>Durgapur</v>
      </c>
      <c r="B3" s="176"/>
      <c r="C3" s="176"/>
      <c r="D3" s="176"/>
      <c r="E3" s="176"/>
      <c r="F3" s="176"/>
    </row>
    <row r="4" spans="1:13" x14ac:dyDescent="0.2">
      <c r="A4" s="177" t="str">
        <f>+'Data Input'!B4</f>
        <v>H R Ispat Pvt Ltd</v>
      </c>
      <c r="B4" s="38" t="str">
        <f>IF('Data Input'!E10="", "", 'Data Input'!E10)</f>
        <v>Audited</v>
      </c>
      <c r="C4" s="38" t="str">
        <f>IF('Data Input'!F10="", "", 'Data Input'!F10)</f>
        <v>Audited</v>
      </c>
      <c r="D4" s="38" t="str">
        <f>IF('Data Input'!G10="", "", 'Data Input'!G10)</f>
        <v>Audited</v>
      </c>
      <c r="E4" s="38" t="str">
        <f>IF('Data Input'!H10="", "", 'Data Input'!H10)</f>
        <v>Audited</v>
      </c>
      <c r="F4" s="38" t="str">
        <f>IF('Data Input'!I10="", "", 'Data Input'!I10)</f>
        <v>Audited</v>
      </c>
      <c r="G4" s="38" t="str">
        <f>IF('Data Input'!J10="", "", 'Data Input'!J10)</f>
        <v>Audited</v>
      </c>
      <c r="H4" s="38" t="str">
        <f>IF('Data Input'!K10="", "", 'Data Input'!K10)</f>
        <v>Projected</v>
      </c>
      <c r="I4" s="38" t="str">
        <f>IF('Data Input'!L10="", "", 'Data Input'!L10)</f>
        <v>Projected</v>
      </c>
    </row>
    <row r="5" spans="1:13" ht="15" customHeight="1" x14ac:dyDescent="0.2">
      <c r="A5" s="178"/>
      <c r="B5" s="38">
        <f>IF('Data Input'!E11="", "", 'Data Input'!E11)</f>
        <v>2019</v>
      </c>
      <c r="C5" s="38">
        <f>IF('Data Input'!F11="", "", 'Data Input'!F11)</f>
        <v>2020</v>
      </c>
      <c r="D5" s="38">
        <f>IF('Data Input'!G11="", "", 'Data Input'!G11)</f>
        <v>2021</v>
      </c>
      <c r="E5" s="38">
        <f>IF('Data Input'!H11="", "", 'Data Input'!H11)</f>
        <v>2022</v>
      </c>
      <c r="F5" s="38">
        <f>IF('Data Input'!I11="", "", 'Data Input'!I11)</f>
        <v>2023</v>
      </c>
      <c r="G5" s="38">
        <f>IF('Data Input'!J11="", "", 'Data Input'!J11)</f>
        <v>2024</v>
      </c>
      <c r="H5" s="38">
        <f>IF('Data Input'!K11="", "", 'Data Input'!K11)</f>
        <v>2025</v>
      </c>
      <c r="I5" s="38">
        <f>IF('Data Input'!L11="", "", 'Data Input'!L11)</f>
        <v>2026</v>
      </c>
    </row>
    <row r="6" spans="1:13" x14ac:dyDescent="0.2">
      <c r="A6" s="45" t="s">
        <v>189</v>
      </c>
      <c r="B6" s="47">
        <f>+BSA!D22</f>
        <v>0</v>
      </c>
      <c r="C6" s="47">
        <f>+BSA!E22</f>
        <v>0</v>
      </c>
      <c r="D6" s="47">
        <f>+BSA!F22</f>
        <v>0</v>
      </c>
      <c r="E6" s="47">
        <f>+BSA!G22</f>
        <v>0</v>
      </c>
      <c r="F6" s="47">
        <f>+BSA!H22</f>
        <v>564.38</v>
      </c>
      <c r="G6" s="47">
        <f>+BSA!I22</f>
        <v>471.12</v>
      </c>
      <c r="H6" s="47">
        <f>+BSA!J22</f>
        <v>528.88</v>
      </c>
      <c r="I6" s="47">
        <f>+BSA!K22</f>
        <v>603.94000000000005</v>
      </c>
    </row>
    <row r="7" spans="1:13" x14ac:dyDescent="0.2">
      <c r="A7" s="45" t="s">
        <v>280</v>
      </c>
      <c r="B7" s="47">
        <f>+BSA!D24</f>
        <v>0</v>
      </c>
      <c r="C7" s="47">
        <f>+BSA!E24</f>
        <v>0</v>
      </c>
      <c r="D7" s="47">
        <f>+BSA!F24</f>
        <v>0</v>
      </c>
      <c r="E7" s="47">
        <f>+BSA!G24</f>
        <v>0</v>
      </c>
      <c r="F7" s="47">
        <f>+BSA!H24</f>
        <v>564.38</v>
      </c>
      <c r="G7" s="47">
        <f>+BSA!I24</f>
        <v>471.12</v>
      </c>
      <c r="H7" s="47">
        <f>+BSA!J24</f>
        <v>528.88</v>
      </c>
      <c r="I7" s="47">
        <f>+BSA!K24</f>
        <v>603.94000000000005</v>
      </c>
    </row>
    <row r="8" spans="1:13" x14ac:dyDescent="0.2">
      <c r="A8" s="45" t="s">
        <v>281</v>
      </c>
      <c r="B8" s="47">
        <f>+BSA!D25</f>
        <v>0</v>
      </c>
      <c r="C8" s="47">
        <f>+BSA!E25</f>
        <v>0</v>
      </c>
      <c r="D8" s="47">
        <f>+BSA!F25</f>
        <v>0</v>
      </c>
      <c r="E8" s="47">
        <f>+BSA!G25</f>
        <v>0</v>
      </c>
      <c r="F8" s="47">
        <f>+BSA!H25</f>
        <v>0</v>
      </c>
      <c r="G8" s="47">
        <f>+BSA!I25</f>
        <v>0</v>
      </c>
      <c r="H8" s="47">
        <f>+BSA!J25</f>
        <v>0</v>
      </c>
      <c r="I8" s="47">
        <f>+BSA!K25</f>
        <v>0</v>
      </c>
    </row>
    <row r="9" spans="1:13" x14ac:dyDescent="0.2">
      <c r="A9" s="45" t="s">
        <v>282</v>
      </c>
      <c r="B9" s="30" t="e">
        <f>+BSA!D26</f>
        <v>#DIV/0!</v>
      </c>
      <c r="C9" s="123" t="e">
        <f>+BSA!E26</f>
        <v>#DIV/0!</v>
      </c>
      <c r="D9" s="123" t="e">
        <f>+BSA!F26</f>
        <v>#DIV/0!</v>
      </c>
      <c r="E9" s="123" t="e">
        <f>+BSA!G26</f>
        <v>#DIV/0!</v>
      </c>
      <c r="F9" s="123" t="e">
        <f>+BSA!H26</f>
        <v>#DIV/0!</v>
      </c>
      <c r="G9" s="123">
        <f>+BSA!I26</f>
        <v>-0.16524327580708031</v>
      </c>
      <c r="H9" s="123">
        <f>+BSA!J26</f>
        <v>0.12260146034980469</v>
      </c>
      <c r="I9" s="123">
        <f>+BSA!K26</f>
        <v>0.14192255332022399</v>
      </c>
    </row>
    <row r="10" spans="1:13" ht="13.5" thickBot="1" x14ac:dyDescent="0.25">
      <c r="A10" s="45" t="s">
        <v>190</v>
      </c>
      <c r="B10" s="47">
        <f>+BSA!D23-B13</f>
        <v>0</v>
      </c>
      <c r="C10" s="47">
        <f>+BSA!E23-C13</f>
        <v>0</v>
      </c>
      <c r="D10" s="47">
        <f>+BSA!F23-D13</f>
        <v>0</v>
      </c>
      <c r="E10" s="47">
        <f>+BSA!G23-E13</f>
        <v>0</v>
      </c>
      <c r="F10" s="47">
        <f>+BSA!H23-F13</f>
        <v>564.38</v>
      </c>
      <c r="G10" s="47">
        <f>+BSA!I23-G13</f>
        <v>471.12</v>
      </c>
      <c r="H10" s="47">
        <f>+BSA!J23-H13</f>
        <v>528.88</v>
      </c>
      <c r="I10" s="47">
        <f>+BSA!K23-I13</f>
        <v>603.94000000000005</v>
      </c>
    </row>
    <row r="11" spans="1:13" ht="15.75" thickBot="1" x14ac:dyDescent="0.25">
      <c r="A11" s="138" t="s">
        <v>403</v>
      </c>
      <c r="B11" s="47">
        <f>'Data Input'!E23</f>
        <v>0</v>
      </c>
      <c r="C11" s="47">
        <f>'Data Input'!F23</f>
        <v>0</v>
      </c>
      <c r="D11" s="47">
        <f>'Data Input'!G23</f>
        <v>0</v>
      </c>
      <c r="E11" s="47">
        <f>'Data Input'!H23</f>
        <v>0</v>
      </c>
      <c r="F11" s="47">
        <f>'Data Input'!I23</f>
        <v>473.14</v>
      </c>
      <c r="G11" s="47">
        <f>'Data Input'!J23</f>
        <v>384.37</v>
      </c>
      <c r="H11" s="47">
        <f>'Data Input'!K23</f>
        <v>435.88</v>
      </c>
      <c r="I11" s="47">
        <f>'Data Input'!L23</f>
        <v>491.28</v>
      </c>
    </row>
    <row r="12" spans="1:13" ht="30.75" thickBot="1" x14ac:dyDescent="0.25">
      <c r="A12" s="139" t="s">
        <v>404</v>
      </c>
      <c r="B12" s="47">
        <f>'Data Input'!E24</f>
        <v>0</v>
      </c>
      <c r="C12" s="47">
        <f>'Data Input'!F24</f>
        <v>0</v>
      </c>
      <c r="D12" s="47">
        <f>'Data Input'!G24</f>
        <v>0</v>
      </c>
      <c r="E12" s="47">
        <f>'Data Input'!H24</f>
        <v>0</v>
      </c>
      <c r="F12" s="47">
        <f>'Data Input'!I24</f>
        <v>11.37</v>
      </c>
      <c r="G12" s="47">
        <f>'Data Input'!J24</f>
        <v>8.3000000000000007</v>
      </c>
      <c r="H12" s="47">
        <f>'Data Input'!K24</f>
        <v>9.81</v>
      </c>
      <c r="I12" s="47">
        <f>'Data Input'!L24</f>
        <v>11.05</v>
      </c>
    </row>
    <row r="13" spans="1:13" x14ac:dyDescent="0.2">
      <c r="A13" s="45" t="s">
        <v>305</v>
      </c>
      <c r="B13" s="47">
        <f>'Data Input'!E15</f>
        <v>0</v>
      </c>
      <c r="C13" s="47">
        <f>'Data Input'!F15</f>
        <v>0</v>
      </c>
      <c r="D13" s="47">
        <f>'Data Input'!G15</f>
        <v>0</v>
      </c>
      <c r="E13" s="47">
        <f>'Data Input'!H15</f>
        <v>0</v>
      </c>
      <c r="F13" s="47">
        <f>'Data Input'!I15</f>
        <v>0</v>
      </c>
      <c r="G13" s="47">
        <f>'Data Input'!J15</f>
        <v>0</v>
      </c>
      <c r="H13" s="47">
        <f>'Data Input'!K15</f>
        <v>0</v>
      </c>
      <c r="I13" s="47">
        <f>'Data Input'!L15</f>
        <v>0</v>
      </c>
      <c r="J13" s="121">
        <f>+F13+F14</f>
        <v>0.1</v>
      </c>
      <c r="K13" s="121">
        <f>+G13+G14</f>
        <v>0.15</v>
      </c>
    </row>
    <row r="14" spans="1:13" x14ac:dyDescent="0.2">
      <c r="A14" s="45" t="s">
        <v>306</v>
      </c>
      <c r="B14" s="47">
        <f>'Data Input'!E51</f>
        <v>0</v>
      </c>
      <c r="C14" s="47">
        <f>'Data Input'!F51</f>
        <v>0</v>
      </c>
      <c r="D14" s="47">
        <f>'Data Input'!G51</f>
        <v>0</v>
      </c>
      <c r="E14" s="47">
        <f>'Data Input'!H51</f>
        <v>0</v>
      </c>
      <c r="F14" s="47">
        <f>'Data Input'!I51</f>
        <v>0.1</v>
      </c>
      <c r="G14" s="47">
        <f>'Data Input'!J51</f>
        <v>0.15</v>
      </c>
      <c r="H14" s="47">
        <f>'Data Input'!K51</f>
        <v>0</v>
      </c>
      <c r="I14" s="47">
        <f>'Data Input'!L51</f>
        <v>0</v>
      </c>
    </row>
    <row r="15" spans="1:13" x14ac:dyDescent="0.2">
      <c r="A15" s="45" t="s">
        <v>283</v>
      </c>
      <c r="B15" s="47">
        <f>'Data Input'!E50</f>
        <v>0</v>
      </c>
      <c r="C15" s="47">
        <f>'Data Input'!F50</f>
        <v>0</v>
      </c>
      <c r="D15" s="47">
        <f>'Data Input'!G50</f>
        <v>0</v>
      </c>
      <c r="E15" s="47">
        <f>'Data Input'!H50</f>
        <v>0</v>
      </c>
      <c r="F15" s="47">
        <f>'Data Input'!I50</f>
        <v>10.480000000000064</v>
      </c>
      <c r="G15" s="47">
        <f>'Data Input'!J50</f>
        <v>6.8600000000000119</v>
      </c>
      <c r="H15" s="47">
        <f>'Data Input'!K50</f>
        <v>9.4600000000001039</v>
      </c>
      <c r="I15" s="47">
        <f>'Data Input'!L50</f>
        <v>11.880000000000031</v>
      </c>
      <c r="J15" s="135"/>
      <c r="K15" s="135"/>
      <c r="L15" s="135"/>
      <c r="M15" s="135"/>
    </row>
    <row r="16" spans="1:13" x14ac:dyDescent="0.2">
      <c r="A16" s="45" t="s">
        <v>155</v>
      </c>
      <c r="B16" s="47">
        <f>'Data Input'!E54</f>
        <v>0</v>
      </c>
      <c r="C16" s="47">
        <f>'Data Input'!F54</f>
        <v>0</v>
      </c>
      <c r="D16" s="47">
        <f>'Data Input'!G54</f>
        <v>0</v>
      </c>
      <c r="E16" s="47">
        <f>'Data Input'!H54</f>
        <v>0</v>
      </c>
      <c r="F16" s="47">
        <f>'Data Input'!I54</f>
        <v>10.580000000000064</v>
      </c>
      <c r="G16" s="47">
        <f>'Data Input'!J54</f>
        <v>7.0100000000000122</v>
      </c>
      <c r="H16" s="47">
        <f>'Data Input'!K54</f>
        <v>9.6600000000001032</v>
      </c>
      <c r="I16" s="47">
        <f>'Data Input'!L54</f>
        <v>12.100000000000032</v>
      </c>
      <c r="J16" s="124"/>
      <c r="K16" s="124"/>
      <c r="L16" s="124"/>
      <c r="M16" s="124"/>
    </row>
    <row r="17" spans="1:9" x14ac:dyDescent="0.2">
      <c r="A17" s="45" t="s">
        <v>284</v>
      </c>
      <c r="B17" s="47">
        <f>'Data Input'!E57</f>
        <v>0</v>
      </c>
      <c r="C17" s="47">
        <f>'Data Input'!F57</f>
        <v>0</v>
      </c>
      <c r="D17" s="47">
        <f>'Data Input'!G57</f>
        <v>0</v>
      </c>
      <c r="E17" s="47">
        <f>'Data Input'!H57</f>
        <v>0</v>
      </c>
      <c r="F17" s="47">
        <f>'Data Input'!I57</f>
        <v>5.2500000000000648</v>
      </c>
      <c r="G17" s="47">
        <f>'Data Input'!J57</f>
        <v>4.7900000000000116</v>
      </c>
      <c r="H17" s="47">
        <f>'Data Input'!K57</f>
        <v>6.8400000000001029</v>
      </c>
      <c r="I17" s="47">
        <f>'Data Input'!L57</f>
        <v>8.1200000000000312</v>
      </c>
    </row>
    <row r="18" spans="1:9" ht="25.5" x14ac:dyDescent="0.2">
      <c r="A18" s="45" t="s">
        <v>385</v>
      </c>
      <c r="B18" s="47">
        <f>'Data Input'!E29</f>
        <v>0</v>
      </c>
      <c r="C18" s="47">
        <f>'Data Input'!F29</f>
        <v>0</v>
      </c>
      <c r="D18" s="47">
        <f>'Data Input'!G29</f>
        <v>0</v>
      </c>
      <c r="E18" s="47">
        <f>'Data Input'!H29</f>
        <v>0</v>
      </c>
      <c r="F18" s="47">
        <f>'Data Input'!I29</f>
        <v>3.23</v>
      </c>
      <c r="G18" s="47">
        <f>'Data Input'!J29</f>
        <v>3.47</v>
      </c>
      <c r="H18" s="47">
        <f>'Data Input'!K29</f>
        <v>3.4</v>
      </c>
      <c r="I18" s="47">
        <f>'Data Input'!L29</f>
        <v>3.4</v>
      </c>
    </row>
    <row r="19" spans="1:9" x14ac:dyDescent="0.2">
      <c r="A19" s="45" t="s">
        <v>285</v>
      </c>
      <c r="B19" s="47">
        <f>'Data Input'!E57+'Data Input'!E29+'Data Input'!E56</f>
        <v>0</v>
      </c>
      <c r="C19" s="47">
        <f>'Data Input'!F57+'Data Input'!F29+'Data Input'!F56</f>
        <v>0</v>
      </c>
      <c r="D19" s="47">
        <f>'Data Input'!G57+'Data Input'!G29+'Data Input'!G56</f>
        <v>0</v>
      </c>
      <c r="E19" s="47">
        <f>'Data Input'!H57+'Data Input'!H29+'Data Input'!H56</f>
        <v>0</v>
      </c>
      <c r="F19" s="47">
        <f>'Data Input'!I57+'Data Input'!I29+'Data Input'!I56</f>
        <v>8.4800000000000644</v>
      </c>
      <c r="G19" s="47">
        <f>'Data Input'!J57+'Data Input'!J29+'Data Input'!J56</f>
        <v>8.2600000000000122</v>
      </c>
      <c r="H19" s="47">
        <f>'Data Input'!K57+'Data Input'!K29+'Data Input'!K56</f>
        <v>10.240000000000103</v>
      </c>
      <c r="I19" s="47">
        <f>'Data Input'!L57+'Data Input'!L29+'Data Input'!L56</f>
        <v>11.520000000000032</v>
      </c>
    </row>
    <row r="20" spans="1:9" x14ac:dyDescent="0.2">
      <c r="A20" s="45" t="s">
        <v>386</v>
      </c>
      <c r="B20" s="47">
        <f>BSA!D19</f>
        <v>0</v>
      </c>
      <c r="C20" s="47">
        <f>BSA!E19</f>
        <v>0</v>
      </c>
      <c r="D20" s="47">
        <f>BSA!F19</f>
        <v>0</v>
      </c>
      <c r="E20" s="47">
        <f>BSA!G19</f>
        <v>0</v>
      </c>
      <c r="F20" s="47">
        <f>BSA!H19</f>
        <v>16.260000000000066</v>
      </c>
      <c r="G20" s="47">
        <f>BSA!I19</f>
        <v>14.170000000000012</v>
      </c>
      <c r="H20" s="47">
        <f>BSA!J19</f>
        <v>17.860000000000102</v>
      </c>
      <c r="I20" s="47">
        <f>BSA!K19</f>
        <v>20.210000000000033</v>
      </c>
    </row>
    <row r="21" spans="1:9" x14ac:dyDescent="0.2">
      <c r="A21" s="45" t="s">
        <v>286</v>
      </c>
      <c r="B21" s="47">
        <f>'Data Input'!E96</f>
        <v>0</v>
      </c>
      <c r="C21" s="47">
        <f>'Data Input'!F96</f>
        <v>0</v>
      </c>
      <c r="D21" s="47">
        <f>'Data Input'!G96</f>
        <v>0</v>
      </c>
      <c r="E21" s="47">
        <f>'Data Input'!H96</f>
        <v>0</v>
      </c>
      <c r="F21" s="47">
        <f>'Data Input'!I96</f>
        <v>5.33</v>
      </c>
      <c r="G21" s="47">
        <f>'Data Input'!J96</f>
        <v>5.33</v>
      </c>
      <c r="H21" s="47">
        <f>'Data Input'!K96</f>
        <v>5.33</v>
      </c>
      <c r="I21" s="47">
        <f>'Data Input'!L96</f>
        <v>5.33</v>
      </c>
    </row>
    <row r="22" spans="1:9" ht="38.25" x14ac:dyDescent="0.2">
      <c r="A22" s="45" t="s">
        <v>405</v>
      </c>
      <c r="B22" s="47">
        <f>'Data Input'!E97+'Data Input'!E100+'Data Input'!E98</f>
        <v>0</v>
      </c>
      <c r="C22" s="47">
        <f>'Data Input'!F97+'Data Input'!F100+'Data Input'!F98</f>
        <v>0</v>
      </c>
      <c r="D22" s="47">
        <f>'Data Input'!G97+'Data Input'!G100+'Data Input'!G98</f>
        <v>0</v>
      </c>
      <c r="E22" s="47">
        <f>'Data Input'!H97+'Data Input'!H100+'Data Input'!H98</f>
        <v>0</v>
      </c>
      <c r="F22" s="47">
        <f>'Data Input'!I97+'Data Input'!I100+'Data Input'!I98</f>
        <v>31.83</v>
      </c>
      <c r="G22" s="47">
        <f>'Data Input'!J97+'Data Input'!J100+'Data Input'!J98</f>
        <v>36.619999999999997</v>
      </c>
      <c r="H22" s="47">
        <f>'Data Input'!K97+'Data Input'!K100+'Data Input'!K98</f>
        <v>43.46</v>
      </c>
      <c r="I22" s="47">
        <f>'Data Input'!L97+'Data Input'!L100+'Data Input'!L98</f>
        <v>51.58</v>
      </c>
    </row>
    <row r="23" spans="1:9" ht="25.5" x14ac:dyDescent="0.2">
      <c r="A23" s="45" t="s">
        <v>406</v>
      </c>
      <c r="B23" s="47">
        <f>'Data Input'!E136</f>
        <v>0</v>
      </c>
      <c r="C23" s="47">
        <f>'Data Input'!F136</f>
        <v>0</v>
      </c>
      <c r="D23" s="47">
        <f>'Data Input'!G136</f>
        <v>0</v>
      </c>
      <c r="E23" s="47">
        <f>'Data Input'!H136</f>
        <v>0</v>
      </c>
      <c r="F23" s="47">
        <f>'Data Input'!I136</f>
        <v>0</v>
      </c>
      <c r="G23" s="47">
        <f>'Data Input'!J136</f>
        <v>0</v>
      </c>
      <c r="H23" s="47">
        <f>'Data Input'!K136</f>
        <v>0</v>
      </c>
      <c r="I23" s="47">
        <f>'Data Input'!L136</f>
        <v>0</v>
      </c>
    </row>
    <row r="24" spans="1:9" x14ac:dyDescent="0.2">
      <c r="A24" s="45" t="s">
        <v>287</v>
      </c>
      <c r="B24" s="47">
        <v>0</v>
      </c>
      <c r="C24" s="47">
        <v>0</v>
      </c>
      <c r="D24" s="47">
        <v>0</v>
      </c>
      <c r="E24" s="47">
        <v>0</v>
      </c>
      <c r="F24" s="47">
        <v>0</v>
      </c>
      <c r="G24" s="47">
        <v>0</v>
      </c>
      <c r="H24" s="47">
        <v>0</v>
      </c>
      <c r="I24" s="47">
        <v>0</v>
      </c>
    </row>
    <row r="25" spans="1:9" x14ac:dyDescent="0.2">
      <c r="A25" s="45" t="s">
        <v>288</v>
      </c>
      <c r="B25" s="47">
        <f>'Data Input'!E99</f>
        <v>0</v>
      </c>
      <c r="C25" s="47">
        <f>'Data Input'!F99</f>
        <v>0</v>
      </c>
      <c r="D25" s="47">
        <f>'Data Input'!G99</f>
        <v>0</v>
      </c>
      <c r="E25" s="47">
        <f>'Data Input'!H99</f>
        <v>0</v>
      </c>
      <c r="F25" s="47">
        <f>'Data Input'!I99</f>
        <v>2</v>
      </c>
      <c r="G25" s="47">
        <f>'Data Input'!J99</f>
        <v>2.2200000000000002</v>
      </c>
      <c r="H25" s="47">
        <f>'Data Input'!K99</f>
        <v>2.48</v>
      </c>
      <c r="I25" s="47">
        <f>'Data Input'!L99</f>
        <v>2.91</v>
      </c>
    </row>
    <row r="26" spans="1:9" x14ac:dyDescent="0.2">
      <c r="A26" s="45" t="s">
        <v>302</v>
      </c>
      <c r="B26" s="47">
        <f>'Data Input'!E101</f>
        <v>0</v>
      </c>
      <c r="C26" s="47">
        <f>'Data Input'!F101</f>
        <v>0</v>
      </c>
      <c r="D26" s="47">
        <f>'Data Input'!G101</f>
        <v>0</v>
      </c>
      <c r="E26" s="47">
        <f>'Data Input'!H101</f>
        <v>0</v>
      </c>
      <c r="F26" s="47">
        <f>'Data Input'!I101</f>
        <v>39.159999999999997</v>
      </c>
      <c r="G26" s="47">
        <f>'Data Input'!J101</f>
        <v>44.169999999999995</v>
      </c>
      <c r="H26" s="47">
        <f>'Data Input'!K101</f>
        <v>51.269999999999996</v>
      </c>
      <c r="I26" s="47">
        <f>'Data Input'!L101</f>
        <v>59.819999999999993</v>
      </c>
    </row>
    <row r="27" spans="1:9" ht="25.5" x14ac:dyDescent="0.2">
      <c r="A27" s="46" t="s">
        <v>303</v>
      </c>
      <c r="B27" s="47">
        <f>'Data Input'!E130</f>
        <v>0</v>
      </c>
      <c r="C27" s="47">
        <f>'Data Input'!F130</f>
        <v>0</v>
      </c>
      <c r="D27" s="47">
        <f>'Data Input'!G130</f>
        <v>0</v>
      </c>
      <c r="E27" s="47">
        <f>'Data Input'!H130</f>
        <v>0</v>
      </c>
      <c r="F27" s="47">
        <f>'Data Input'!I130</f>
        <v>0</v>
      </c>
      <c r="G27" s="47">
        <f>'Data Input'!J130</f>
        <v>0</v>
      </c>
      <c r="H27" s="47">
        <f>'Data Input'!K130</f>
        <v>0</v>
      </c>
      <c r="I27" s="47">
        <f>'Data Input'!L130</f>
        <v>0</v>
      </c>
    </row>
    <row r="28" spans="1:9" x14ac:dyDescent="0.2">
      <c r="A28" s="45" t="s">
        <v>304</v>
      </c>
      <c r="B28" s="47">
        <f>B26-B27</f>
        <v>0</v>
      </c>
      <c r="C28" s="47">
        <f t="shared" ref="C28:E28" si="0">C26-C27</f>
        <v>0</v>
      </c>
      <c r="D28" s="47">
        <f t="shared" si="0"/>
        <v>0</v>
      </c>
      <c r="E28" s="47">
        <f t="shared" si="0"/>
        <v>0</v>
      </c>
      <c r="F28" s="47">
        <f t="shared" ref="F28:G28" si="1">F26-F27</f>
        <v>39.159999999999997</v>
      </c>
      <c r="G28" s="47">
        <f t="shared" si="1"/>
        <v>44.169999999999995</v>
      </c>
      <c r="H28" s="47">
        <f t="shared" ref="H28:I28" si="2">H26-H27</f>
        <v>51.269999999999996</v>
      </c>
      <c r="I28" s="47">
        <f t="shared" si="2"/>
        <v>59.819999999999993</v>
      </c>
    </row>
    <row r="29" spans="1:9" ht="25.5" x14ac:dyDescent="0.2">
      <c r="A29" s="45" t="s">
        <v>387</v>
      </c>
      <c r="B29" s="47">
        <f>'Data Input'!E132</f>
        <v>0</v>
      </c>
      <c r="C29" s="47">
        <f>'Data Input'!F132</f>
        <v>0</v>
      </c>
      <c r="D29" s="47">
        <f>'Data Input'!G132</f>
        <v>0</v>
      </c>
      <c r="E29" s="47">
        <f>'Data Input'!H132</f>
        <v>0</v>
      </c>
      <c r="F29" s="47">
        <f>'Data Input'!I132</f>
        <v>0</v>
      </c>
      <c r="G29" s="47">
        <f>'Data Input'!J132</f>
        <v>0</v>
      </c>
      <c r="H29" s="47">
        <f>'Data Input'!K132</f>
        <v>0</v>
      </c>
      <c r="I29" s="47">
        <f>'Data Input'!L132</f>
        <v>0</v>
      </c>
    </row>
    <row r="30" spans="1:9" x14ac:dyDescent="0.2">
      <c r="A30" s="45" t="s">
        <v>388</v>
      </c>
      <c r="B30" s="47">
        <f>'Data Input'!E82</f>
        <v>0</v>
      </c>
      <c r="C30" s="47">
        <f>'Data Input'!F82</f>
        <v>0</v>
      </c>
      <c r="D30" s="47">
        <f>'Data Input'!G82</f>
        <v>0</v>
      </c>
      <c r="E30" s="47">
        <f>'Data Input'!H82</f>
        <v>0</v>
      </c>
      <c r="F30" s="47">
        <f>'Data Input'!I82</f>
        <v>0</v>
      </c>
      <c r="G30" s="47">
        <f>'Data Input'!J82</f>
        <v>0</v>
      </c>
      <c r="H30" s="47">
        <f>'Data Input'!K82</f>
        <v>0</v>
      </c>
      <c r="I30" s="47">
        <f>'Data Input'!L82</f>
        <v>0</v>
      </c>
    </row>
    <row r="31" spans="1:9" x14ac:dyDescent="0.2">
      <c r="A31" s="45" t="s">
        <v>289</v>
      </c>
      <c r="B31" s="47">
        <f>'Data Input'!E94+'Data Input'!E74+'Data Input'!E79+'Data Input'!E82-'Data Input'!E88</f>
        <v>0</v>
      </c>
      <c r="C31" s="47">
        <f>'Data Input'!F94+'Data Input'!F74+'Data Input'!F79+'Data Input'!F82-'Data Input'!F88</f>
        <v>0</v>
      </c>
      <c r="D31" s="47">
        <f>'Data Input'!G94+'Data Input'!G74+'Data Input'!G79+'Data Input'!G82-'Data Input'!G88</f>
        <v>0</v>
      </c>
      <c r="E31" s="47">
        <f>'Data Input'!H94+'Data Input'!H74+'Data Input'!H79+'Data Input'!H82-'Data Input'!H88</f>
        <v>0</v>
      </c>
      <c r="F31" s="47">
        <f>'Data Input'!I94+'Data Input'!I74+'Data Input'!I79+'Data Input'!I82-'Data Input'!I88</f>
        <v>33.25</v>
      </c>
      <c r="G31" s="47">
        <f>'Data Input'!J94+'Data Input'!J74+'Data Input'!J79+'Data Input'!J82-'Data Input'!J88</f>
        <v>45.879999999999995</v>
      </c>
      <c r="H31" s="47">
        <f>'Data Input'!K94+'Data Input'!K74+'Data Input'!K79+'Data Input'!K82-'Data Input'!K88</f>
        <v>79.05</v>
      </c>
      <c r="I31" s="47">
        <f>'Data Input'!L94+'Data Input'!L74+'Data Input'!L79+'Data Input'!L82-'Data Input'!L88</f>
        <v>78.03</v>
      </c>
    </row>
    <row r="32" spans="1:9" x14ac:dyDescent="0.2">
      <c r="A32" s="45" t="s">
        <v>290</v>
      </c>
      <c r="B32" s="47">
        <f>'Data Input'!E89+'Data Input'!E91+'Data Input'!E74+'Data Input'!E79</f>
        <v>0</v>
      </c>
      <c r="C32" s="47">
        <f>'Data Input'!F89+'Data Input'!F91+'Data Input'!F74+'Data Input'!F79</f>
        <v>0</v>
      </c>
      <c r="D32" s="47">
        <f>'Data Input'!G89+'Data Input'!G91+'Data Input'!G74+'Data Input'!G79</f>
        <v>0</v>
      </c>
      <c r="E32" s="47">
        <f>'Data Input'!H89+'Data Input'!H91+'Data Input'!H74+'Data Input'!H79</f>
        <v>0</v>
      </c>
      <c r="F32" s="47">
        <f>'Data Input'!I89+'Data Input'!I91+'Data Input'!I74+'Data Input'!I79</f>
        <v>25.299999999999997</v>
      </c>
      <c r="G32" s="47">
        <f>'Data Input'!J89+'Data Input'!J91+'Data Input'!J74+'Data Input'!J79</f>
        <v>38.979999999999997</v>
      </c>
      <c r="H32" s="47">
        <f>'Data Input'!K89+'Data Input'!K91+'Data Input'!K74+'Data Input'!K79</f>
        <v>72.149999999999991</v>
      </c>
      <c r="I32" s="47">
        <f>'Data Input'!L89+'Data Input'!L91+'Data Input'!L74+'Data Input'!L79</f>
        <v>71.13</v>
      </c>
    </row>
    <row r="33" spans="1:9" x14ac:dyDescent="0.2">
      <c r="A33" s="45" t="s">
        <v>291</v>
      </c>
      <c r="B33" s="47">
        <f>'Data Input'!E93+'Data Input'!E90+'Data Input'!E92</f>
        <v>0</v>
      </c>
      <c r="C33" s="47">
        <f>'Data Input'!F93+'Data Input'!F90+'Data Input'!F92</f>
        <v>0</v>
      </c>
      <c r="D33" s="47">
        <f>'Data Input'!G93+'Data Input'!G90+'Data Input'!G92</f>
        <v>0</v>
      </c>
      <c r="E33" s="47">
        <f>'Data Input'!H93+'Data Input'!H90+'Data Input'!H92</f>
        <v>0</v>
      </c>
      <c r="F33" s="47">
        <f>'Data Input'!I93+'Data Input'!I90+'Data Input'!I92</f>
        <v>7.9499999999999993</v>
      </c>
      <c r="G33" s="47">
        <f>'Data Input'!J93+'Data Input'!J90+'Data Input'!J92</f>
        <v>6.9</v>
      </c>
      <c r="H33" s="47">
        <f>'Data Input'!K93+'Data Input'!K90+'Data Input'!K92</f>
        <v>6.9</v>
      </c>
      <c r="I33" s="47">
        <f>'Data Input'!L93+'Data Input'!L90+'Data Input'!L92</f>
        <v>6.9</v>
      </c>
    </row>
    <row r="34" spans="1:9" ht="51" x14ac:dyDescent="0.2">
      <c r="A34" s="46" t="s">
        <v>389</v>
      </c>
      <c r="B34" s="47">
        <f>'Data Input'!E128+'Data Input'!E130</f>
        <v>0</v>
      </c>
      <c r="C34" s="47">
        <f>'Data Input'!F128+'Data Input'!F130</f>
        <v>0</v>
      </c>
      <c r="D34" s="47">
        <f>'Data Input'!G128+'Data Input'!G130</f>
        <v>0</v>
      </c>
      <c r="E34" s="47">
        <f>'Data Input'!H128+'Data Input'!H130</f>
        <v>0</v>
      </c>
      <c r="F34" s="47">
        <f>'Data Input'!I128+'Data Input'!I130</f>
        <v>0.03</v>
      </c>
      <c r="G34" s="47">
        <f>'Data Input'!J128+'Data Input'!J130</f>
        <v>0.03</v>
      </c>
      <c r="H34" s="47">
        <f>'Data Input'!K128+'Data Input'!K130</f>
        <v>0.03</v>
      </c>
      <c r="I34" s="47">
        <f>'Data Input'!L128+'Data Input'!L130</f>
        <v>0.03</v>
      </c>
    </row>
    <row r="35" spans="1:9" x14ac:dyDescent="0.2">
      <c r="A35" s="45" t="s">
        <v>292</v>
      </c>
      <c r="B35" s="47">
        <f>'Data Input'!E137</f>
        <v>0</v>
      </c>
      <c r="C35" s="47">
        <f>'Data Input'!F137</f>
        <v>0</v>
      </c>
      <c r="D35" s="47">
        <f>'Data Input'!G137</f>
        <v>0</v>
      </c>
      <c r="E35" s="47">
        <f>'Data Input'!H137</f>
        <v>0</v>
      </c>
      <c r="F35" s="47">
        <f>'Data Input'!I137</f>
        <v>104.94</v>
      </c>
      <c r="G35" s="47">
        <f>'Data Input'!J137</f>
        <v>112.43</v>
      </c>
      <c r="H35" s="47">
        <f>'Data Input'!K137</f>
        <v>148.35</v>
      </c>
      <c r="I35" s="47">
        <f>'Data Input'!L137</f>
        <v>158.41000000000003</v>
      </c>
    </row>
    <row r="36" spans="1:9" s="162" customFormat="1" x14ac:dyDescent="0.2">
      <c r="A36" s="160" t="s">
        <v>390</v>
      </c>
      <c r="B36" s="161">
        <f>'Data Input'!E122</f>
        <v>0</v>
      </c>
      <c r="C36" s="161">
        <f>'Data Input'!F122</f>
        <v>0</v>
      </c>
      <c r="D36" s="161">
        <f>'Data Input'!G122</f>
        <v>0</v>
      </c>
      <c r="E36" s="161">
        <f>'Data Input'!H122</f>
        <v>0</v>
      </c>
      <c r="F36" s="161">
        <f>'Data Input'!I122</f>
        <v>66.56</v>
      </c>
      <c r="G36" s="161">
        <f>'Data Input'!J122</f>
        <v>77.599999999999994</v>
      </c>
      <c r="H36" s="161">
        <f>'Data Input'!K122</f>
        <v>116.93</v>
      </c>
      <c r="I36" s="161">
        <f>'Data Input'!L122</f>
        <v>130.39000000000001</v>
      </c>
    </row>
    <row r="37" spans="1:9" x14ac:dyDescent="0.2">
      <c r="A37" s="45" t="s">
        <v>391</v>
      </c>
      <c r="B37" s="47">
        <f>'Data Input'!E135</f>
        <v>0</v>
      </c>
      <c r="C37" s="47">
        <f>'Data Input'!F135</f>
        <v>0</v>
      </c>
      <c r="D37" s="47">
        <f>'Data Input'!G135</f>
        <v>0</v>
      </c>
      <c r="E37" s="47">
        <f>'Data Input'!H135</f>
        <v>0</v>
      </c>
      <c r="F37" s="47">
        <f>'Data Input'!I135</f>
        <v>4.09</v>
      </c>
      <c r="G37" s="47">
        <f>'Data Input'!J135</f>
        <v>0.04</v>
      </c>
      <c r="H37" s="47">
        <f>'Data Input'!K135</f>
        <v>0.03</v>
      </c>
      <c r="I37" s="47">
        <f>'Data Input'!L135</f>
        <v>0.03</v>
      </c>
    </row>
    <row r="38" spans="1:9" x14ac:dyDescent="0.2">
      <c r="A38" s="45" t="s">
        <v>293</v>
      </c>
      <c r="B38" s="47">
        <f>'Data Input'!E126</f>
        <v>0</v>
      </c>
      <c r="C38" s="47">
        <f>'Data Input'!F126</f>
        <v>0</v>
      </c>
      <c r="D38" s="47">
        <f>'Data Input'!G126</f>
        <v>0</v>
      </c>
      <c r="E38" s="47">
        <f>'Data Input'!H126</f>
        <v>0</v>
      </c>
      <c r="F38" s="47">
        <f>'Data Input'!I126</f>
        <v>34.29</v>
      </c>
      <c r="G38" s="47">
        <f>'Data Input'!J126</f>
        <v>34.790000000000006</v>
      </c>
      <c r="H38" s="47">
        <f>'Data Input'!K126</f>
        <v>31.39</v>
      </c>
      <c r="I38" s="47">
        <f>'Data Input'!L126</f>
        <v>27.99</v>
      </c>
    </row>
    <row r="39" spans="1:9" s="159" customFormat="1" x14ac:dyDescent="0.2">
      <c r="A39" s="157" t="s">
        <v>409</v>
      </c>
      <c r="B39" s="158">
        <f>'Data Input'!E86</f>
        <v>0</v>
      </c>
      <c r="C39" s="158">
        <f>'Data Input'!F86</f>
        <v>0</v>
      </c>
      <c r="D39" s="158">
        <f>'Data Input'!G86</f>
        <v>0</v>
      </c>
      <c r="E39" s="158">
        <f>'Data Input'!H86</f>
        <v>0</v>
      </c>
      <c r="F39" s="158">
        <f>'Data Input'!I86</f>
        <v>54.1</v>
      </c>
      <c r="G39" s="158">
        <f>'Data Input'!J86</f>
        <v>59.28</v>
      </c>
      <c r="H39" s="158">
        <f>'Data Input'!K86</f>
        <v>89.05</v>
      </c>
      <c r="I39" s="158">
        <f>'Data Input'!L86</f>
        <v>91.58</v>
      </c>
    </row>
    <row r="40" spans="1:9" s="156" customFormat="1" x14ac:dyDescent="0.2">
      <c r="A40" s="154" t="s">
        <v>239</v>
      </c>
      <c r="B40" s="155">
        <f>'Data Input'!E139</f>
        <v>0</v>
      </c>
      <c r="C40" s="155">
        <f>'Data Input'!F139</f>
        <v>0</v>
      </c>
      <c r="D40" s="155">
        <f>'Data Input'!G139</f>
        <v>0</v>
      </c>
      <c r="E40" s="155">
        <f>'Data Input'!H139</f>
        <v>0</v>
      </c>
      <c r="F40" s="155">
        <f>'Data Input'!I139</f>
        <v>12.46</v>
      </c>
      <c r="G40" s="155">
        <f>'Data Input'!J139</f>
        <v>18.319999999999986</v>
      </c>
      <c r="H40" s="155">
        <f>'Data Input'!K139</f>
        <v>27.879999999999995</v>
      </c>
      <c r="I40" s="155">
        <f>'Data Input'!L139</f>
        <v>38.81</v>
      </c>
    </row>
    <row r="41" spans="1:9" x14ac:dyDescent="0.2">
      <c r="A41" s="45" t="s">
        <v>294</v>
      </c>
      <c r="B41" s="47" t="e">
        <f>'Data Input'!E140</f>
        <v>#DIV/0!</v>
      </c>
      <c r="C41" s="47" t="e">
        <f>'Data Input'!F140</f>
        <v>#DIV/0!</v>
      </c>
      <c r="D41" s="47" t="e">
        <f>'Data Input'!G140</f>
        <v>#DIV/0!</v>
      </c>
      <c r="E41" s="47" t="e">
        <f>'Data Input'!H140</f>
        <v>#DIV/0!</v>
      </c>
      <c r="F41" s="47">
        <f>'Data Input'!I140</f>
        <v>1.2303142329020333</v>
      </c>
      <c r="G41" s="47">
        <f>'Data Input'!J140</f>
        <v>1.3090418353576248</v>
      </c>
      <c r="H41" s="47">
        <f>'Data Input'!K140</f>
        <v>1.3130825379000564</v>
      </c>
      <c r="I41" s="47">
        <f>'Data Input'!L140</f>
        <v>1.4237824852587904</v>
      </c>
    </row>
    <row r="42" spans="1:9" x14ac:dyDescent="0.2">
      <c r="A42" s="45" t="s">
        <v>295</v>
      </c>
      <c r="B42" s="114" t="e">
        <f>('Data Input'!E94)/'Data Input'!E101</f>
        <v>#DIV/0!</v>
      </c>
      <c r="C42" s="114" t="e">
        <f>('Data Input'!F94)/'Data Input'!F101</f>
        <v>#DIV/0!</v>
      </c>
      <c r="D42" s="114" t="e">
        <f>('Data Input'!G94)/'Data Input'!G101</f>
        <v>#DIV/0!</v>
      </c>
      <c r="E42" s="114" t="e">
        <f>('Data Input'!H94)/'Data Input'!H101</f>
        <v>#DIV/0!</v>
      </c>
      <c r="F42" s="114">
        <f>('Data Input'!I94)/'Data Input'!I101</f>
        <v>0.29826353421859042</v>
      </c>
      <c r="G42" s="114">
        <f>('Data Input'!J94)/'Data Input'!J101</f>
        <v>0.20330541091238399</v>
      </c>
      <c r="H42" s="114">
        <f>('Data Input'!K94)/'Data Input'!K101</f>
        <v>0.15662180612443927</v>
      </c>
      <c r="I42" s="114">
        <f>('Data Input'!L94)/'Data Input'!L101</f>
        <v>0.11718488799732532</v>
      </c>
    </row>
    <row r="43" spans="1:9" x14ac:dyDescent="0.2">
      <c r="A43" s="45" t="s">
        <v>308</v>
      </c>
      <c r="B43" s="114" t="e">
        <f>('Data Input'!E94-'Data Input'!E93-'Data Input'!E90)/('Data Input'!E101+'Data Input'!E93)</f>
        <v>#DIV/0!</v>
      </c>
      <c r="C43" s="114" t="e">
        <f>('Data Input'!F94-'Data Input'!F93-'Data Input'!F90)/('Data Input'!F101+'Data Input'!F93)</f>
        <v>#DIV/0!</v>
      </c>
      <c r="D43" s="114" t="e">
        <f>('Data Input'!G94-'Data Input'!G93-'Data Input'!G90)/('Data Input'!G101+'Data Input'!G93)</f>
        <v>#DIV/0!</v>
      </c>
      <c r="E43" s="114" t="e">
        <f>('Data Input'!H94-'Data Input'!H93-'Data Input'!H90)/('Data Input'!H101+'Data Input'!H93)</f>
        <v>#DIV/0!</v>
      </c>
      <c r="F43" s="114">
        <f>('Data Input'!I94-'Data Input'!I93-'Data Input'!I90)/('Data Input'!I101+'Data Input'!I93)</f>
        <v>0.22727272727272729</v>
      </c>
      <c r="G43" s="114">
        <f>('Data Input'!J94-'Data Input'!J93-'Data Input'!J90)/('Data Input'!J101+'Data Input'!J93)</f>
        <v>0.13085804844917368</v>
      </c>
      <c r="H43" s="114">
        <f>('Data Input'!K94-'Data Input'!K93-'Data Input'!K90)/('Data Input'!K101+'Data Input'!K93)</f>
        <v>9.4207138677589258E-2</v>
      </c>
      <c r="I43" s="114">
        <f>('Data Input'!L94-'Data Input'!L93-'Data Input'!L90)/('Data Input'!L101+'Data Input'!L93)</f>
        <v>6.3691073219658972E-2</v>
      </c>
    </row>
    <row r="44" spans="1:9" x14ac:dyDescent="0.2">
      <c r="A44" s="45" t="s">
        <v>296</v>
      </c>
      <c r="B44" s="114" t="e">
        <f t="shared" ref="B44:I44" si="3">B15/B10</f>
        <v>#DIV/0!</v>
      </c>
      <c r="C44" s="114" t="e">
        <f t="shared" si="3"/>
        <v>#DIV/0!</v>
      </c>
      <c r="D44" s="114" t="e">
        <f t="shared" si="3"/>
        <v>#DIV/0!</v>
      </c>
      <c r="E44" s="114" t="e">
        <f t="shared" si="3"/>
        <v>#DIV/0!</v>
      </c>
      <c r="F44" s="114">
        <f t="shared" si="3"/>
        <v>1.8569049222155399E-2</v>
      </c>
      <c r="G44" s="114">
        <f t="shared" si="3"/>
        <v>1.4561046017999686E-2</v>
      </c>
      <c r="H44" s="114">
        <f t="shared" si="3"/>
        <v>1.7886855241264755E-2</v>
      </c>
      <c r="I44" s="114">
        <f t="shared" si="3"/>
        <v>1.9670828227969714E-2</v>
      </c>
    </row>
    <row r="45" spans="1:9" x14ac:dyDescent="0.2">
      <c r="A45" s="45" t="s">
        <v>394</v>
      </c>
      <c r="B45" s="114" t="e">
        <f>'Data Input'!E95/B28</f>
        <v>#DIV/0!</v>
      </c>
      <c r="C45" s="114" t="e">
        <f>'Data Input'!F95/C28</f>
        <v>#DIV/0!</v>
      </c>
      <c r="D45" s="114" t="e">
        <f>'Data Input'!G95/D28</f>
        <v>#DIV/0!</v>
      </c>
      <c r="E45" s="114" t="e">
        <f>'Data Input'!H95/E28</f>
        <v>#DIV/0!</v>
      </c>
      <c r="F45" s="114">
        <f>'Data Input'!I95/F28</f>
        <v>1.6797752808988766</v>
      </c>
      <c r="G45" s="114">
        <f>'Data Input'!J95/G28</f>
        <v>1.5453928005433555</v>
      </c>
      <c r="H45" s="114">
        <f>'Data Input'!K95/H28</f>
        <v>1.8935049736688123</v>
      </c>
      <c r="I45" s="114">
        <f>'Data Input'!L95/I28</f>
        <v>1.648110999665664</v>
      </c>
    </row>
    <row r="46" spans="1:9" x14ac:dyDescent="0.2">
      <c r="A46" s="45" t="s">
        <v>393</v>
      </c>
      <c r="B46" s="114" t="e">
        <f>'Data Input'!E94/'7A'!B28</f>
        <v>#DIV/0!</v>
      </c>
      <c r="C46" s="114" t="e">
        <f>'Data Input'!F94/'7A'!C28</f>
        <v>#DIV/0!</v>
      </c>
      <c r="D46" s="114" t="e">
        <f>'Data Input'!G94/'7A'!D28</f>
        <v>#DIV/0!</v>
      </c>
      <c r="E46" s="114" t="e">
        <f>'Data Input'!H94/'7A'!E28</f>
        <v>#DIV/0!</v>
      </c>
      <c r="F46" s="114">
        <f>'Data Input'!I94/'7A'!F28</f>
        <v>0.29826353421859042</v>
      </c>
      <c r="G46" s="114">
        <f>'Data Input'!J94/'7A'!G28</f>
        <v>0.20330541091238399</v>
      </c>
      <c r="H46" s="114">
        <f>'Data Input'!K94/'7A'!H28</f>
        <v>0.15662180612443927</v>
      </c>
      <c r="I46" s="114">
        <f>'Data Input'!L94/'7A'!I28</f>
        <v>0.11718488799732532</v>
      </c>
    </row>
    <row r="47" spans="1:9" x14ac:dyDescent="0.2">
      <c r="A47" s="45" t="s">
        <v>297</v>
      </c>
      <c r="B47" s="47">
        <f>'Data Input'!E101+'Data Input'!E94-'Data Input'!E136</f>
        <v>0</v>
      </c>
      <c r="C47" s="47">
        <f>'Data Input'!F101+'Data Input'!F94-'Data Input'!F136</f>
        <v>0</v>
      </c>
      <c r="D47" s="47">
        <f>'Data Input'!G101+'Data Input'!G94-'Data Input'!G136</f>
        <v>0</v>
      </c>
      <c r="E47" s="47">
        <f>'Data Input'!H101+'Data Input'!H94-'Data Input'!H136</f>
        <v>0</v>
      </c>
      <c r="F47" s="47">
        <f>'Data Input'!I101+'Data Input'!I94-'Data Input'!I136</f>
        <v>50.839999999999996</v>
      </c>
      <c r="G47" s="47">
        <f>'Data Input'!J101+'Data Input'!J94-'Data Input'!J136</f>
        <v>53.149999999999991</v>
      </c>
      <c r="H47" s="47">
        <f>'Data Input'!K101+'Data Input'!K94-'Data Input'!K136</f>
        <v>59.3</v>
      </c>
      <c r="I47" s="47">
        <f>'Data Input'!L101+'Data Input'!L94-'Data Input'!L136</f>
        <v>66.83</v>
      </c>
    </row>
    <row r="48" spans="1:9" x14ac:dyDescent="0.2">
      <c r="A48" s="45" t="s">
        <v>298</v>
      </c>
      <c r="B48" s="47">
        <f>'Data Input'!E126+'Data Input'!E135</f>
        <v>0</v>
      </c>
      <c r="C48" s="47">
        <f>'Data Input'!F126+'Data Input'!F135</f>
        <v>0</v>
      </c>
      <c r="D48" s="47">
        <f>'Data Input'!G126+'Data Input'!G135</f>
        <v>0</v>
      </c>
      <c r="E48" s="47">
        <f>'Data Input'!H126+'Data Input'!H135</f>
        <v>0</v>
      </c>
      <c r="F48" s="47">
        <f>'Data Input'!I126+'Data Input'!I135</f>
        <v>38.379999999999995</v>
      </c>
      <c r="G48" s="47">
        <f>'Data Input'!J126+'Data Input'!J135</f>
        <v>34.830000000000005</v>
      </c>
      <c r="H48" s="47">
        <f>'Data Input'!K126+'Data Input'!K135</f>
        <v>31.42</v>
      </c>
      <c r="I48" s="47">
        <f>'Data Input'!L126+'Data Input'!L135</f>
        <v>28.02</v>
      </c>
    </row>
    <row r="49" spans="1:9" s="156" customFormat="1" x14ac:dyDescent="0.2">
      <c r="A49" s="154" t="s">
        <v>299</v>
      </c>
      <c r="B49" s="155">
        <f>B47-B48</f>
        <v>0</v>
      </c>
      <c r="C49" s="155">
        <f t="shared" ref="C49:E49" si="4">C47-C48</f>
        <v>0</v>
      </c>
      <c r="D49" s="155">
        <f t="shared" si="4"/>
        <v>0</v>
      </c>
      <c r="E49" s="155">
        <f t="shared" si="4"/>
        <v>0</v>
      </c>
      <c r="F49" s="155">
        <f t="shared" ref="F49:G49" si="5">F47-F48</f>
        <v>12.46</v>
      </c>
      <c r="G49" s="155">
        <f t="shared" si="5"/>
        <v>18.319999999999986</v>
      </c>
      <c r="H49" s="155">
        <f t="shared" ref="H49:I49" si="6">H47-H48</f>
        <v>27.879999999999995</v>
      </c>
      <c r="I49" s="155">
        <f t="shared" si="6"/>
        <v>38.81</v>
      </c>
    </row>
    <row r="50" spans="1:9" s="159" customFormat="1" x14ac:dyDescent="0.2">
      <c r="A50" s="157" t="s">
        <v>300</v>
      </c>
      <c r="B50" s="158">
        <f>'Data Input'!E86</f>
        <v>0</v>
      </c>
      <c r="C50" s="158">
        <f>'Data Input'!F86</f>
        <v>0</v>
      </c>
      <c r="D50" s="158">
        <f>'Data Input'!G86</f>
        <v>0</v>
      </c>
      <c r="E50" s="158">
        <f>'Data Input'!H86</f>
        <v>0</v>
      </c>
      <c r="F50" s="158">
        <f>'Data Input'!I86</f>
        <v>54.1</v>
      </c>
      <c r="G50" s="158">
        <f>'Data Input'!J86</f>
        <v>59.28</v>
      </c>
      <c r="H50" s="158">
        <f>'Data Input'!K86</f>
        <v>89.05</v>
      </c>
      <c r="I50" s="158">
        <f>'Data Input'!L86</f>
        <v>91.58</v>
      </c>
    </row>
    <row r="51" spans="1:9" s="162" customFormat="1" x14ac:dyDescent="0.2">
      <c r="A51" s="160" t="s">
        <v>301</v>
      </c>
      <c r="B51" s="161">
        <f>'Data Input'!E122</f>
        <v>0</v>
      </c>
      <c r="C51" s="161">
        <f>'Data Input'!F122</f>
        <v>0</v>
      </c>
      <c r="D51" s="161">
        <f>'Data Input'!G122</f>
        <v>0</v>
      </c>
      <c r="E51" s="161">
        <f>'Data Input'!H122</f>
        <v>0</v>
      </c>
      <c r="F51" s="161">
        <f>'Data Input'!I122</f>
        <v>66.56</v>
      </c>
      <c r="G51" s="161">
        <f>'Data Input'!J122</f>
        <v>77.599999999999994</v>
      </c>
      <c r="H51" s="161">
        <f>'Data Input'!K122</f>
        <v>116.93</v>
      </c>
      <c r="I51" s="161">
        <f>'Data Input'!L122</f>
        <v>130.39000000000001</v>
      </c>
    </row>
    <row r="52" spans="1:9" s="156" customFormat="1" x14ac:dyDescent="0.2">
      <c r="A52" s="154" t="s">
        <v>299</v>
      </c>
      <c r="B52" s="155">
        <f>B50-B51</f>
        <v>0</v>
      </c>
      <c r="C52" s="155">
        <f t="shared" ref="C52:E52" si="7">C50-C51</f>
        <v>0</v>
      </c>
      <c r="D52" s="155">
        <f t="shared" si="7"/>
        <v>0</v>
      </c>
      <c r="E52" s="155">
        <f t="shared" si="7"/>
        <v>0</v>
      </c>
      <c r="F52" s="155">
        <f t="shared" ref="F52:G52" si="8">F50-F51</f>
        <v>-12.46</v>
      </c>
      <c r="G52" s="155">
        <f t="shared" si="8"/>
        <v>-18.319999999999993</v>
      </c>
      <c r="H52" s="155">
        <f t="shared" ref="H52:I52" si="9">H50-H51</f>
        <v>-27.88000000000001</v>
      </c>
      <c r="I52" s="155">
        <f t="shared" si="9"/>
        <v>-38.810000000000016</v>
      </c>
    </row>
    <row r="53" spans="1:9" x14ac:dyDescent="0.2">
      <c r="B53" s="121"/>
      <c r="C53" s="121"/>
      <c r="D53" s="121"/>
      <c r="E53" s="121"/>
      <c r="F53" s="121"/>
      <c r="G53" s="121"/>
      <c r="H53" s="121"/>
      <c r="I53" s="121"/>
    </row>
  </sheetData>
  <mergeCells count="4">
    <mergeCell ref="A1:F1"/>
    <mergeCell ref="A2:F2"/>
    <mergeCell ref="A3:F3"/>
    <mergeCell ref="A4:A5"/>
  </mergeCells>
  <pageMargins left="0.7" right="0.7" top="0.75" bottom="0.75" header="0.3" footer="0.3"/>
  <pageSetup scale="79"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6"/>
  <sheetViews>
    <sheetView showGridLines="0" view="pageBreakPreview" zoomScaleSheetLayoutView="100" workbookViewId="0">
      <selection activeCell="B19" sqref="B19:B25"/>
    </sheetView>
  </sheetViews>
  <sheetFormatPr defaultColWidth="9.140625" defaultRowHeight="14.25" x14ac:dyDescent="0.2"/>
  <cols>
    <col min="1" max="1" width="30.5703125" style="34" bestFit="1" customWidth="1"/>
    <col min="2" max="2" width="11.42578125" style="34" customWidth="1"/>
    <col min="3" max="3" width="14" style="34" bestFit="1" customWidth="1"/>
    <col min="4" max="4" width="8.7109375" style="34" bestFit="1" customWidth="1"/>
    <col min="5" max="5" width="11" style="34" bestFit="1" customWidth="1"/>
    <col min="6" max="6" width="9.140625" style="34"/>
    <col min="7" max="7" width="7.7109375" style="34" bestFit="1" customWidth="1"/>
    <col min="8" max="8" width="19.85546875" style="34" bestFit="1" customWidth="1"/>
    <col min="9" max="9" width="10.28515625" style="34" bestFit="1" customWidth="1"/>
    <col min="10" max="10" width="10.7109375" style="34" bestFit="1" customWidth="1"/>
    <col min="11" max="11" width="11.85546875" style="34" bestFit="1" customWidth="1"/>
    <col min="12" max="12" width="16.85546875" style="34" bestFit="1" customWidth="1"/>
    <col min="13" max="13" width="18.5703125" style="34" bestFit="1" customWidth="1"/>
    <col min="14" max="14" width="5.140625" style="34" bestFit="1" customWidth="1"/>
    <col min="15" max="15" width="6.7109375" style="34" bestFit="1" customWidth="1"/>
    <col min="16" max="16384" width="9.140625" style="34"/>
  </cols>
  <sheetData>
    <row r="1" spans="1:15" x14ac:dyDescent="0.2">
      <c r="A1" s="176" t="str">
        <f>+'Data Input'!B5</f>
        <v>Punjab National Bank</v>
      </c>
      <c r="B1" s="176"/>
      <c r="C1" s="176"/>
      <c r="D1" s="176"/>
      <c r="E1" s="176"/>
      <c r="F1" s="3"/>
      <c r="G1" s="176" t="str">
        <f>+'Data Input'!B5</f>
        <v>Punjab National Bank</v>
      </c>
      <c r="H1" s="176"/>
      <c r="I1" s="176"/>
      <c r="J1" s="176"/>
      <c r="K1" s="176"/>
      <c r="L1" s="176"/>
      <c r="M1" s="176"/>
      <c r="N1" s="176"/>
      <c r="O1" s="176"/>
    </row>
    <row r="2" spans="1:15" x14ac:dyDescent="0.2">
      <c r="A2" s="176" t="str">
        <f>+'Data Input'!B6</f>
        <v>MCC Durgapur</v>
      </c>
      <c r="B2" s="176"/>
      <c r="C2" s="176"/>
      <c r="D2" s="176"/>
      <c r="E2" s="176"/>
      <c r="F2" s="3"/>
      <c r="G2" s="176" t="str">
        <f>+'Data Input'!B6</f>
        <v>MCC Durgapur</v>
      </c>
      <c r="H2" s="176"/>
      <c r="I2" s="176"/>
      <c r="J2" s="176"/>
      <c r="K2" s="176"/>
      <c r="L2" s="176"/>
      <c r="M2" s="176"/>
      <c r="N2" s="176"/>
      <c r="O2" s="176"/>
    </row>
    <row r="3" spans="1:15" x14ac:dyDescent="0.2">
      <c r="A3" s="176" t="str">
        <f>+'Data Input'!B7</f>
        <v>Durgapur</v>
      </c>
      <c r="B3" s="176"/>
      <c r="C3" s="176"/>
      <c r="D3" s="176"/>
      <c r="E3" s="176"/>
      <c r="F3" s="3"/>
      <c r="G3" s="176" t="str">
        <f>+'Data Input'!B7</f>
        <v>Durgapur</v>
      </c>
      <c r="H3" s="176"/>
      <c r="I3" s="176"/>
      <c r="J3" s="176"/>
      <c r="K3" s="176"/>
      <c r="L3" s="176"/>
      <c r="M3" s="176"/>
      <c r="N3" s="176"/>
      <c r="O3" s="176"/>
    </row>
    <row r="4" spans="1:15" x14ac:dyDescent="0.2">
      <c r="A4" s="176" t="str">
        <f>+'Data Input'!B4</f>
        <v>H R Ispat Pvt Ltd</v>
      </c>
      <c r="B4" s="176"/>
      <c r="C4" s="176"/>
      <c r="D4" s="176"/>
      <c r="E4" s="176"/>
      <c r="F4" s="3"/>
      <c r="G4" s="176" t="str">
        <f>+'Data Input'!B4</f>
        <v>H R Ispat Pvt Ltd</v>
      </c>
      <c r="H4" s="176"/>
      <c r="I4" s="176"/>
      <c r="J4" s="176"/>
      <c r="K4" s="176"/>
      <c r="L4" s="176"/>
      <c r="M4" s="176"/>
      <c r="N4" s="176"/>
      <c r="O4" s="176"/>
    </row>
    <row r="5" spans="1:15" x14ac:dyDescent="0.2">
      <c r="A5" s="179" t="s">
        <v>135</v>
      </c>
      <c r="B5" s="179"/>
      <c r="C5" s="179"/>
      <c r="D5" s="179"/>
      <c r="E5" s="179"/>
      <c r="F5" s="3"/>
      <c r="G5" s="179" t="s">
        <v>114</v>
      </c>
      <c r="H5" s="179"/>
      <c r="I5" s="179"/>
      <c r="J5" s="179"/>
      <c r="K5" s="179"/>
      <c r="L5" s="179"/>
      <c r="M5" s="179"/>
      <c r="N5" s="179"/>
      <c r="O5" s="179"/>
    </row>
    <row r="6" spans="1:15" x14ac:dyDescent="0.2">
      <c r="A6" s="33" t="s">
        <v>130</v>
      </c>
      <c r="B6" s="33" t="s">
        <v>131</v>
      </c>
      <c r="C6" s="33" t="s">
        <v>132</v>
      </c>
      <c r="D6" s="33" t="s">
        <v>133</v>
      </c>
      <c r="E6" s="33" t="s">
        <v>134</v>
      </c>
      <c r="F6" s="3"/>
      <c r="G6" s="33" t="s">
        <v>115</v>
      </c>
      <c r="H6" s="33" t="s">
        <v>116</v>
      </c>
      <c r="I6" s="33" t="s">
        <v>117</v>
      </c>
      <c r="J6" s="33" t="s">
        <v>118</v>
      </c>
      <c r="K6" s="33" t="s">
        <v>119</v>
      </c>
      <c r="L6" s="33" t="s">
        <v>121</v>
      </c>
      <c r="M6" s="33" t="s">
        <v>120</v>
      </c>
      <c r="N6" s="33" t="s">
        <v>122</v>
      </c>
      <c r="O6" s="33" t="s">
        <v>123</v>
      </c>
    </row>
    <row r="7" spans="1:15" x14ac:dyDescent="0.2">
      <c r="A7" s="30" t="s">
        <v>111</v>
      </c>
      <c r="B7" s="106"/>
      <c r="C7" s="107">
        <v>0.4</v>
      </c>
      <c r="D7" s="131" t="str">
        <f>IF(B7="", "", B7*C7)</f>
        <v/>
      </c>
      <c r="E7" s="131">
        <v>0</v>
      </c>
      <c r="F7" s="3"/>
      <c r="G7" s="30"/>
      <c r="H7" s="30"/>
      <c r="I7" s="30"/>
      <c r="J7" s="30"/>
      <c r="K7" s="30"/>
      <c r="L7" s="30"/>
      <c r="M7" s="30"/>
      <c r="N7" s="30"/>
      <c r="O7" s="30"/>
    </row>
    <row r="8" spans="1:15" x14ac:dyDescent="0.2">
      <c r="A8" s="30" t="s">
        <v>112</v>
      </c>
      <c r="B8" s="106"/>
      <c r="C8" s="107">
        <v>0.25</v>
      </c>
      <c r="D8" s="130" t="str">
        <f t="shared" ref="D8:D11" si="0">IF(B8="", "", B8*C8)</f>
        <v/>
      </c>
      <c r="E8" s="130" t="e">
        <f>B8-D8</f>
        <v>#VALUE!</v>
      </c>
      <c r="F8" s="3"/>
      <c r="G8" s="30"/>
      <c r="H8" s="30"/>
      <c r="I8" s="30"/>
      <c r="J8" s="30"/>
      <c r="K8" s="30"/>
      <c r="L8" s="30"/>
      <c r="M8" s="30"/>
      <c r="N8" s="30"/>
      <c r="O8" s="30"/>
    </row>
    <row r="9" spans="1:15" x14ac:dyDescent="0.2">
      <c r="A9" s="30" t="s">
        <v>113</v>
      </c>
      <c r="B9" s="106"/>
      <c r="C9" s="107">
        <v>0.05</v>
      </c>
      <c r="D9" s="130" t="str">
        <f t="shared" si="0"/>
        <v/>
      </c>
      <c r="E9" s="130" t="e">
        <f t="shared" ref="E9:E11" si="1">B9-D9</f>
        <v>#VALUE!</v>
      </c>
      <c r="F9" s="3"/>
      <c r="G9" s="30"/>
      <c r="H9" s="30"/>
      <c r="I9" s="30"/>
      <c r="J9" s="30"/>
      <c r="K9" s="30"/>
      <c r="L9" s="30"/>
      <c r="M9" s="30"/>
      <c r="N9" s="30"/>
      <c r="O9" s="30"/>
    </row>
    <row r="10" spans="1:15" x14ac:dyDescent="0.2">
      <c r="A10" s="30" t="s">
        <v>410</v>
      </c>
      <c r="B10" s="106"/>
      <c r="C10" s="107">
        <v>0.25</v>
      </c>
      <c r="D10" s="130" t="str">
        <f t="shared" si="0"/>
        <v/>
      </c>
      <c r="E10" s="130" t="e">
        <f t="shared" si="1"/>
        <v>#VALUE!</v>
      </c>
      <c r="F10" s="3"/>
      <c r="G10" s="30"/>
      <c r="H10" s="30"/>
      <c r="I10" s="30"/>
      <c r="J10" s="30"/>
      <c r="K10" s="30"/>
      <c r="L10" s="30"/>
      <c r="M10" s="30"/>
      <c r="N10" s="30"/>
      <c r="O10" s="30"/>
    </row>
    <row r="11" spans="1:15" x14ac:dyDescent="0.2">
      <c r="A11" s="30" t="s">
        <v>124</v>
      </c>
      <c r="B11" s="106"/>
      <c r="C11" s="107">
        <v>0.25</v>
      </c>
      <c r="D11" s="131" t="str">
        <f t="shared" si="0"/>
        <v/>
      </c>
      <c r="E11" s="131" t="e">
        <f t="shared" si="1"/>
        <v>#VALUE!</v>
      </c>
      <c r="F11" s="3"/>
      <c r="G11" s="30"/>
      <c r="H11" s="30"/>
      <c r="I11" s="30"/>
      <c r="J11" s="30"/>
      <c r="K11" s="30"/>
      <c r="L11" s="30"/>
      <c r="M11" s="30"/>
      <c r="N11" s="30"/>
      <c r="O11" s="30"/>
    </row>
    <row r="12" spans="1:15" x14ac:dyDescent="0.2">
      <c r="A12" s="33" t="s">
        <v>125</v>
      </c>
      <c r="B12" s="33" t="str">
        <f>IF(SUM(B7:B11)=0, "", SUM(B7:B11))</f>
        <v/>
      </c>
      <c r="C12" s="33"/>
      <c r="D12" s="132" t="str">
        <f>IF(SUM(D7:D11)=0, "", SUM(D7:D11))</f>
        <v/>
      </c>
      <c r="E12" s="132" t="e">
        <f>IF(SUM(E7:E11)=0, "", SUM(E7:E11))</f>
        <v>#VALUE!</v>
      </c>
      <c r="F12" s="3"/>
      <c r="G12" s="30"/>
      <c r="H12" s="30"/>
      <c r="I12" s="30"/>
      <c r="J12" s="30"/>
      <c r="K12" s="30"/>
      <c r="L12" s="30"/>
      <c r="M12" s="30"/>
      <c r="N12" s="30"/>
      <c r="O12" s="30"/>
    </row>
    <row r="13" spans="1:15" x14ac:dyDescent="0.2">
      <c r="A13" s="30" t="s">
        <v>126</v>
      </c>
      <c r="B13" s="106"/>
      <c r="C13" s="107">
        <v>0</v>
      </c>
      <c r="D13" s="130"/>
      <c r="E13" s="130"/>
      <c r="F13" s="3"/>
      <c r="G13" s="30"/>
      <c r="H13" s="30"/>
      <c r="I13" s="30"/>
      <c r="J13" s="30"/>
      <c r="K13" s="30"/>
      <c r="L13" s="30"/>
      <c r="M13" s="30"/>
      <c r="N13" s="30"/>
      <c r="O13" s="30"/>
    </row>
    <row r="14" spans="1:15" x14ac:dyDescent="0.2">
      <c r="A14" s="30" t="s">
        <v>127</v>
      </c>
      <c r="B14" s="106"/>
      <c r="C14" s="107">
        <v>0</v>
      </c>
      <c r="D14" s="130"/>
      <c r="E14" s="130"/>
      <c r="F14" s="3"/>
      <c r="G14" s="30"/>
      <c r="H14" s="30"/>
      <c r="I14" s="30"/>
      <c r="J14" s="30"/>
      <c r="K14" s="30"/>
      <c r="L14" s="30"/>
      <c r="M14" s="30"/>
      <c r="N14" s="30"/>
      <c r="O14" s="30"/>
    </row>
    <row r="15" spans="1:15" x14ac:dyDescent="0.2">
      <c r="A15" s="30" t="s">
        <v>128</v>
      </c>
      <c r="B15" s="106"/>
      <c r="C15" s="107">
        <v>0</v>
      </c>
      <c r="D15" s="130"/>
      <c r="E15" s="130"/>
      <c r="F15" s="3"/>
      <c r="G15" s="30"/>
      <c r="H15" s="30"/>
      <c r="I15" s="30"/>
      <c r="J15" s="30"/>
      <c r="K15" s="30"/>
      <c r="L15" s="30"/>
      <c r="M15" s="30"/>
      <c r="N15" s="30"/>
      <c r="O15" s="30"/>
    </row>
    <row r="16" spans="1:15" x14ac:dyDescent="0.2">
      <c r="A16" s="33" t="s">
        <v>129</v>
      </c>
      <c r="B16" s="33" t="str">
        <f>IF(SUM(B12:B15)=0, "", SUM(B12:B15))</f>
        <v/>
      </c>
      <c r="C16" s="33"/>
      <c r="D16" s="132" t="str">
        <f>IF(SUM(D12:D15)=0, "", SUM(D12:D15))</f>
        <v/>
      </c>
      <c r="E16" s="132" t="e">
        <f>IF(SUM(E12:E15)=0, "", SUM(E12:E15))</f>
        <v>#VALUE!</v>
      </c>
      <c r="F16" s="3"/>
      <c r="G16" s="30"/>
      <c r="H16" s="30"/>
      <c r="I16" s="30"/>
      <c r="J16" s="30"/>
      <c r="K16" s="30"/>
      <c r="L16" s="30"/>
      <c r="M16" s="30"/>
      <c r="N16" s="30"/>
      <c r="O16" s="30"/>
    </row>
    <row r="17" spans="1:15" x14ac:dyDescent="0.2">
      <c r="A17" s="179" t="s">
        <v>136</v>
      </c>
      <c r="B17" s="179"/>
      <c r="C17" s="179"/>
      <c r="D17" s="108"/>
      <c r="E17" s="108"/>
      <c r="F17" s="3"/>
      <c r="G17" s="30"/>
      <c r="H17" s="30"/>
      <c r="I17" s="30"/>
      <c r="J17" s="30"/>
      <c r="K17" s="30"/>
      <c r="L17" s="30"/>
      <c r="M17" s="30"/>
      <c r="N17" s="30"/>
      <c r="O17" s="30"/>
    </row>
    <row r="18" spans="1:15" x14ac:dyDescent="0.2">
      <c r="A18" s="33" t="s">
        <v>130</v>
      </c>
      <c r="B18" s="33" t="s">
        <v>131</v>
      </c>
      <c r="C18" s="33" t="s">
        <v>137</v>
      </c>
      <c r="D18" s="3"/>
      <c r="E18" s="3"/>
      <c r="F18" s="3"/>
      <c r="G18" s="30"/>
      <c r="H18" s="30"/>
      <c r="I18" s="30"/>
      <c r="J18" s="30"/>
      <c r="K18" s="30"/>
      <c r="L18" s="30"/>
      <c r="M18" s="30"/>
      <c r="N18" s="30"/>
      <c r="O18" s="30"/>
    </row>
    <row r="19" spans="1:15" x14ac:dyDescent="0.2">
      <c r="A19" s="30" t="s">
        <v>138</v>
      </c>
      <c r="B19" s="30"/>
      <c r="C19" s="30" t="e">
        <f>IF(B19/B16="", "", B19/B16)</f>
        <v>#VALUE!</v>
      </c>
      <c r="D19" s="3"/>
      <c r="E19" s="3"/>
      <c r="F19" s="3"/>
      <c r="G19" s="30"/>
      <c r="H19" s="30"/>
      <c r="I19" s="30"/>
      <c r="J19" s="30"/>
      <c r="K19" s="30"/>
      <c r="L19" s="30"/>
      <c r="M19" s="30"/>
      <c r="N19" s="30"/>
      <c r="O19" s="30"/>
    </row>
    <row r="20" spans="1:15" x14ac:dyDescent="0.2">
      <c r="A20" s="30" t="s">
        <v>139</v>
      </c>
      <c r="B20" s="106"/>
      <c r="C20" s="30" t="e">
        <f>IF(B20/B16="", "", B20/B16)</f>
        <v>#VALUE!</v>
      </c>
      <c r="D20" s="3"/>
      <c r="E20" s="3"/>
      <c r="F20" s="3"/>
      <c r="G20" s="30"/>
      <c r="H20" s="30"/>
      <c r="I20" s="30"/>
      <c r="J20" s="30"/>
      <c r="K20" s="30"/>
      <c r="L20" s="30"/>
      <c r="M20" s="30"/>
      <c r="N20" s="30"/>
      <c r="O20" s="30"/>
    </row>
    <row r="21" spans="1:15" x14ac:dyDescent="0.2">
      <c r="A21" s="30" t="s">
        <v>140</v>
      </c>
      <c r="B21" s="106"/>
      <c r="C21" s="30" t="e">
        <f>IF(B21/B16="", "", B21/B16)</f>
        <v>#VALUE!</v>
      </c>
      <c r="D21" s="3"/>
      <c r="E21" s="3"/>
      <c r="F21" s="3"/>
      <c r="G21" s="30"/>
      <c r="H21" s="30"/>
      <c r="I21" s="30"/>
      <c r="J21" s="30"/>
      <c r="K21" s="30"/>
      <c r="L21" s="30"/>
      <c r="M21" s="30"/>
      <c r="N21" s="30"/>
      <c r="O21" s="30"/>
    </row>
    <row r="22" spans="1:15" x14ac:dyDescent="0.2">
      <c r="A22" s="30" t="s">
        <v>141</v>
      </c>
      <c r="B22" s="106"/>
      <c r="C22" s="30" t="e">
        <f>IF(B22/B16="", "", B22/B16)</f>
        <v>#VALUE!</v>
      </c>
      <c r="D22" s="3"/>
      <c r="E22" s="3"/>
      <c r="F22" s="3"/>
      <c r="G22" s="30"/>
      <c r="H22" s="30"/>
      <c r="I22" s="30"/>
      <c r="J22" s="30"/>
      <c r="K22" s="30"/>
      <c r="L22" s="30"/>
      <c r="M22" s="30"/>
      <c r="N22" s="30"/>
      <c r="O22" s="30"/>
    </row>
    <row r="23" spans="1:15" x14ac:dyDescent="0.2">
      <c r="A23" s="30" t="s">
        <v>397</v>
      </c>
      <c r="B23" s="106"/>
      <c r="C23" s="30" t="e">
        <f>IF(B23/B16="", "", B23/B16)</f>
        <v>#VALUE!</v>
      </c>
      <c r="D23" s="3"/>
      <c r="E23" s="3"/>
      <c r="F23" s="3"/>
      <c r="G23" s="30"/>
      <c r="H23" s="30"/>
      <c r="I23" s="30"/>
      <c r="J23" s="30"/>
      <c r="K23" s="30"/>
      <c r="L23" s="30"/>
      <c r="M23" s="30"/>
      <c r="N23" s="30"/>
      <c r="O23" s="30"/>
    </row>
    <row r="24" spans="1:15" x14ac:dyDescent="0.2">
      <c r="A24" s="30" t="s">
        <v>142</v>
      </c>
      <c r="B24" s="106"/>
      <c r="C24" s="30" t="e">
        <f>B24/B16</f>
        <v>#VALUE!</v>
      </c>
      <c r="D24" s="3"/>
      <c r="E24" s="3"/>
      <c r="F24" s="3"/>
      <c r="G24" s="30"/>
      <c r="H24" s="30"/>
      <c r="I24" s="30"/>
      <c r="J24" s="30"/>
      <c r="K24" s="30"/>
      <c r="L24" s="30"/>
      <c r="M24" s="30"/>
      <c r="N24" s="30"/>
      <c r="O24" s="30"/>
    </row>
    <row r="25" spans="1:15" x14ac:dyDescent="0.2">
      <c r="A25" s="30" t="s">
        <v>143</v>
      </c>
      <c r="B25" s="106"/>
      <c r="C25" s="30" t="e">
        <f>B25/B16</f>
        <v>#VALUE!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3" t="s">
        <v>144</v>
      </c>
      <c r="B26" s="33" t="str">
        <f>IF(SUM(B20:B25)=0, "", SUM(B20:B25))</f>
        <v/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</sheetData>
  <mergeCells count="11">
    <mergeCell ref="G5:O5"/>
    <mergeCell ref="A5:E5"/>
    <mergeCell ref="A17:C17"/>
    <mergeCell ref="A1:E1"/>
    <mergeCell ref="A2:E2"/>
    <mergeCell ref="A3:E3"/>
    <mergeCell ref="A4:E4"/>
    <mergeCell ref="G1:O1"/>
    <mergeCell ref="G2:O2"/>
    <mergeCell ref="G3:O3"/>
    <mergeCell ref="G4:O4"/>
  </mergeCells>
  <pageMargins left="0.7" right="0.7" top="0.75" bottom="0.75" header="0.3" footer="0.3"/>
  <pageSetup orientation="landscape" horizontalDpi="4294967295" verticalDpi="4294967295" r:id="rId1"/>
  <colBreaks count="1" manualBreakCount="1">
    <brk id="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5"/>
  <sheetViews>
    <sheetView view="pageBreakPreview" zoomScaleSheetLayoutView="100" workbookViewId="0">
      <selection activeCell="D13" sqref="D13"/>
    </sheetView>
  </sheetViews>
  <sheetFormatPr defaultColWidth="9.140625" defaultRowHeight="12.75" x14ac:dyDescent="0.2"/>
  <cols>
    <col min="1" max="1" width="31.7109375" style="3" bestFit="1" customWidth="1"/>
    <col min="2" max="2" width="10.42578125" style="3" bestFit="1" customWidth="1"/>
    <col min="3" max="9" width="10.140625" style="3" bestFit="1" customWidth="1"/>
    <col min="10" max="12" width="10.140625" style="3" hidden="1" customWidth="1"/>
    <col min="13" max="13" width="8.140625" style="3" customWidth="1"/>
    <col min="14" max="16384" width="9.140625" style="3"/>
  </cols>
  <sheetData>
    <row r="1" spans="1:12" ht="14.25" x14ac:dyDescent="0.2">
      <c r="A1" s="176" t="str">
        <f>+'Data Input'!B5</f>
        <v>Punjab National Bank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</row>
    <row r="2" spans="1:12" ht="14.25" x14ac:dyDescent="0.2">
      <c r="A2" s="176" t="str">
        <f>+'Data Input'!B6</f>
        <v>MCC Durgapur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</row>
    <row r="3" spans="1:12" ht="14.25" x14ac:dyDescent="0.2">
      <c r="A3" s="176" t="str">
        <f>+'Data Input'!B7</f>
        <v>Durgapur</v>
      </c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76"/>
    </row>
    <row r="4" spans="1:12" ht="14.25" x14ac:dyDescent="0.2">
      <c r="A4" s="176" t="str">
        <f>+'Data Input'!B4</f>
        <v>H R Ispat Pvt Ltd</v>
      </c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</row>
    <row r="5" spans="1:12" ht="14.25" x14ac:dyDescent="0.2">
      <c r="A5" s="53" t="s">
        <v>322</v>
      </c>
      <c r="B5" s="38" t="str">
        <f>IF('Data Input'!I10="", "", 'Data Input'!I10)</f>
        <v>Audited</v>
      </c>
      <c r="C5" s="38" t="str">
        <f>IF('Data Input'!J10="", "", 'Data Input'!J10)</f>
        <v>Audited</v>
      </c>
      <c r="D5" s="38" t="str">
        <f>IF('Data Input'!K10="", "", 'Data Input'!K10)</f>
        <v>Projected</v>
      </c>
      <c r="E5" s="38" t="str">
        <f>IF('Data Input'!L10="", "", 'Data Input'!L10)</f>
        <v>Projected</v>
      </c>
      <c r="F5" s="38" t="e">
        <f>IF('Data Input'!#REF!="", "", 'Data Input'!#REF!)</f>
        <v>#REF!</v>
      </c>
      <c r="G5" s="38" t="e">
        <f>IF('Data Input'!#REF!="", "", 'Data Input'!#REF!)</f>
        <v>#REF!</v>
      </c>
      <c r="H5" s="38" t="e">
        <f>IF('Data Input'!#REF!="", "", 'Data Input'!#REF!)</f>
        <v>#REF!</v>
      </c>
      <c r="I5" s="38" t="e">
        <f>IF('Data Input'!#REF!="", "", 'Data Input'!#REF!)</f>
        <v>#REF!</v>
      </c>
      <c r="J5" s="38" t="e">
        <f>IF('Data Input'!#REF!="", "", 'Data Input'!#REF!)</f>
        <v>#REF!</v>
      </c>
      <c r="K5" s="38" t="e">
        <f>IF('Data Input'!#REF!="", "", 'Data Input'!#REF!)</f>
        <v>#REF!</v>
      </c>
      <c r="L5" s="38" t="e">
        <f>IF('Data Input'!#REF!="", "", 'Data Input'!#REF!)</f>
        <v>#REF!</v>
      </c>
    </row>
    <row r="6" spans="1:12" x14ac:dyDescent="0.2">
      <c r="A6" s="58" t="s">
        <v>0</v>
      </c>
      <c r="B6" s="38">
        <f>IF('Data Input'!J11="", "", 'Data Input'!J11)</f>
        <v>2024</v>
      </c>
      <c r="C6" s="38">
        <f>IF('Data Input'!K11="", "", 'Data Input'!K11)</f>
        <v>2025</v>
      </c>
      <c r="D6" s="38">
        <f>IF('Data Input'!L11="", "", 'Data Input'!L11)</f>
        <v>2026</v>
      </c>
      <c r="E6" s="38" t="e">
        <f>IF('Data Input'!#REF!="", "", 'Data Input'!#REF!)</f>
        <v>#REF!</v>
      </c>
      <c r="F6" s="38" t="e">
        <f>IF('Data Input'!#REF!="", "", 'Data Input'!#REF!)</f>
        <v>#REF!</v>
      </c>
      <c r="G6" s="38" t="e">
        <f>IF('Data Input'!#REF!="", "", 'Data Input'!#REF!)</f>
        <v>#REF!</v>
      </c>
      <c r="H6" s="38" t="e">
        <f>IF('Data Input'!#REF!="", "", 'Data Input'!#REF!)</f>
        <v>#REF!</v>
      </c>
      <c r="I6" s="38" t="e">
        <f>IF('Data Input'!#REF!="", "", 'Data Input'!#REF!)</f>
        <v>#REF!</v>
      </c>
      <c r="J6" s="38" t="e">
        <f>IF('Data Input'!#REF!="", "", 'Data Input'!#REF!)</f>
        <v>#REF!</v>
      </c>
      <c r="K6" s="38" t="e">
        <f>IF('Data Input'!#REF!="", "", 'Data Input'!#REF!)</f>
        <v>#REF!</v>
      </c>
      <c r="L6" s="38" t="e">
        <f>IF('Data Input'!#REF!="", "", 'Data Input'!#REF!)</f>
        <v>#REF!</v>
      </c>
    </row>
    <row r="7" spans="1:12" x14ac:dyDescent="0.2">
      <c r="A7" s="56" t="s">
        <v>38</v>
      </c>
      <c r="B7" s="48">
        <f>'Data Input'!J57</f>
        <v>4.7900000000000116</v>
      </c>
      <c r="C7" s="48">
        <f>'Data Input'!K57</f>
        <v>6.8400000000001029</v>
      </c>
      <c r="D7" s="48">
        <f>'Data Input'!L57</f>
        <v>8.1200000000000312</v>
      </c>
      <c r="E7" s="48" t="e">
        <f>'Data Input'!#REF!</f>
        <v>#REF!</v>
      </c>
      <c r="F7" s="48" t="e">
        <f>'Data Input'!#REF!</f>
        <v>#REF!</v>
      </c>
      <c r="G7" s="48" t="e">
        <f>'Data Input'!#REF!</f>
        <v>#REF!</v>
      </c>
      <c r="H7" s="48" t="e">
        <f>'Data Input'!#REF!</f>
        <v>#REF!</v>
      </c>
      <c r="I7" s="48" t="e">
        <f>'Data Input'!#REF!</f>
        <v>#REF!</v>
      </c>
      <c r="J7" s="48" t="e">
        <f>'Data Input'!#REF!</f>
        <v>#REF!</v>
      </c>
      <c r="K7" s="48" t="e">
        <f>'Data Input'!#REF!</f>
        <v>#REF!</v>
      </c>
      <c r="L7" s="48" t="e">
        <f>'Data Input'!#REF!</f>
        <v>#REF!</v>
      </c>
    </row>
    <row r="8" spans="1:12" x14ac:dyDescent="0.2">
      <c r="A8" s="56" t="s">
        <v>309</v>
      </c>
      <c r="B8" s="48">
        <f>'Data Input'!J29</f>
        <v>3.47</v>
      </c>
      <c r="C8" s="48">
        <f>'Data Input'!K29</f>
        <v>3.4</v>
      </c>
      <c r="D8" s="48">
        <f>'Data Input'!L29</f>
        <v>3.4</v>
      </c>
      <c r="E8" s="48" t="e">
        <f>'Data Input'!#REF!</f>
        <v>#REF!</v>
      </c>
      <c r="F8" s="48" t="e">
        <f>'Data Input'!#REF!</f>
        <v>#REF!</v>
      </c>
      <c r="G8" s="48" t="e">
        <f>'Data Input'!#REF!</f>
        <v>#REF!</v>
      </c>
      <c r="H8" s="48" t="e">
        <f>'Data Input'!#REF!</f>
        <v>#REF!</v>
      </c>
      <c r="I8" s="48" t="e">
        <f>'Data Input'!#REF!</f>
        <v>#REF!</v>
      </c>
      <c r="J8" s="48" t="e">
        <f>'Data Input'!#REF!</f>
        <v>#REF!</v>
      </c>
      <c r="K8" s="48" t="e">
        <f>'Data Input'!#REF!</f>
        <v>#REF!</v>
      </c>
      <c r="L8" s="48" t="e">
        <f>'Data Input'!#REF!</f>
        <v>#REF!</v>
      </c>
    </row>
    <row r="9" spans="1:12" x14ac:dyDescent="0.2">
      <c r="A9" s="56" t="s">
        <v>310</v>
      </c>
      <c r="B9" s="48">
        <f>'Data Input'!J47</f>
        <v>0.6</v>
      </c>
      <c r="C9" s="48">
        <f>'Data Input'!K47</f>
        <v>0.21</v>
      </c>
      <c r="D9" s="48">
        <f>'Data Input'!L47</f>
        <v>0.12</v>
      </c>
      <c r="E9" s="48" t="e">
        <f>'Data Input'!#REF!</f>
        <v>#REF!</v>
      </c>
      <c r="F9" s="48" t="e">
        <f>'Data Input'!#REF!</f>
        <v>#REF!</v>
      </c>
      <c r="G9" s="48" t="e">
        <f>'Data Input'!#REF!</f>
        <v>#REF!</v>
      </c>
      <c r="H9" s="48" t="e">
        <f>'Data Input'!#REF!</f>
        <v>#REF!</v>
      </c>
      <c r="I9" s="48" t="e">
        <f>'Data Input'!#REF!</f>
        <v>#REF!</v>
      </c>
      <c r="J9" s="48" t="e">
        <f>'Data Input'!#REF!</f>
        <v>#REF!</v>
      </c>
      <c r="K9" s="48" t="e">
        <f>'Data Input'!#REF!</f>
        <v>#REF!</v>
      </c>
      <c r="L9" s="48" t="e">
        <f>'Data Input'!#REF!</f>
        <v>#REF!</v>
      </c>
    </row>
    <row r="10" spans="1:12" x14ac:dyDescent="0.2">
      <c r="A10" s="56" t="s">
        <v>311</v>
      </c>
      <c r="B10" s="48">
        <f>'Data Input'!J56</f>
        <v>0</v>
      </c>
      <c r="C10" s="48">
        <f>'Data Input'!K56</f>
        <v>0</v>
      </c>
      <c r="D10" s="48">
        <f>'Data Input'!L56</f>
        <v>0</v>
      </c>
      <c r="E10" s="48" t="e">
        <f>'Data Input'!#REF!</f>
        <v>#REF!</v>
      </c>
      <c r="F10" s="48" t="e">
        <f>'Data Input'!#REF!</f>
        <v>#REF!</v>
      </c>
      <c r="G10" s="48" t="e">
        <f>'Data Input'!#REF!</f>
        <v>#REF!</v>
      </c>
      <c r="H10" s="48" t="e">
        <f>'Data Input'!#REF!</f>
        <v>#REF!</v>
      </c>
      <c r="I10" s="48" t="e">
        <f>'Data Input'!#REF!</f>
        <v>#REF!</v>
      </c>
      <c r="J10" s="48" t="e">
        <f>'Data Input'!#REF!</f>
        <v>#REF!</v>
      </c>
      <c r="K10" s="48" t="e">
        <f>'Data Input'!#REF!</f>
        <v>#REF!</v>
      </c>
      <c r="L10" s="48" t="e">
        <f>'Data Input'!#REF!</f>
        <v>#REF!</v>
      </c>
    </row>
    <row r="11" spans="1:12" x14ac:dyDescent="0.2">
      <c r="A11" s="58" t="s">
        <v>312</v>
      </c>
      <c r="B11" s="49">
        <f>SUM(B7:B10)</f>
        <v>8.8600000000000119</v>
      </c>
      <c r="C11" s="49">
        <f t="shared" ref="C11:I11" si="0">SUM(C7:C10)</f>
        <v>10.450000000000104</v>
      </c>
      <c r="D11" s="49">
        <f t="shared" si="0"/>
        <v>11.640000000000031</v>
      </c>
      <c r="E11" s="49" t="e">
        <f t="shared" si="0"/>
        <v>#REF!</v>
      </c>
      <c r="F11" s="49" t="e">
        <f t="shared" si="0"/>
        <v>#REF!</v>
      </c>
      <c r="G11" s="49" t="e">
        <f t="shared" si="0"/>
        <v>#REF!</v>
      </c>
      <c r="H11" s="49" t="e">
        <f t="shared" si="0"/>
        <v>#REF!</v>
      </c>
      <c r="I11" s="49" t="e">
        <f t="shared" si="0"/>
        <v>#REF!</v>
      </c>
      <c r="J11" s="49" t="e">
        <f t="shared" ref="J11" si="1">SUM(J7:J10)</f>
        <v>#REF!</v>
      </c>
      <c r="K11" s="49" t="e">
        <f t="shared" ref="K11:L11" si="2">SUM(K7:K10)</f>
        <v>#REF!</v>
      </c>
      <c r="L11" s="49" t="e">
        <f t="shared" si="2"/>
        <v>#REF!</v>
      </c>
    </row>
    <row r="12" spans="1:12" x14ac:dyDescent="0.2">
      <c r="A12" s="56" t="s">
        <v>310</v>
      </c>
      <c r="B12" s="48">
        <f>'Data Input'!J47</f>
        <v>0.6</v>
      </c>
      <c r="C12" s="48">
        <f>'Data Input'!K47</f>
        <v>0.21</v>
      </c>
      <c r="D12" s="48">
        <f>'Data Input'!L47</f>
        <v>0.12</v>
      </c>
      <c r="E12" s="48" t="e">
        <f>'Data Input'!#REF!</f>
        <v>#REF!</v>
      </c>
      <c r="F12" s="48" t="e">
        <f>'Data Input'!#REF!</f>
        <v>#REF!</v>
      </c>
      <c r="G12" s="48" t="e">
        <f>'Data Input'!#REF!</f>
        <v>#REF!</v>
      </c>
      <c r="H12" s="48" t="e">
        <f>'Data Input'!#REF!</f>
        <v>#REF!</v>
      </c>
      <c r="I12" s="48" t="e">
        <f>'Data Input'!#REF!</f>
        <v>#REF!</v>
      </c>
      <c r="J12" s="48" t="e">
        <f>'Data Input'!#REF!</f>
        <v>#REF!</v>
      </c>
      <c r="K12" s="48" t="e">
        <f>'Data Input'!#REF!</f>
        <v>#REF!</v>
      </c>
      <c r="L12" s="48" t="e">
        <f>'Data Input'!#REF!</f>
        <v>#REF!</v>
      </c>
    </row>
    <row r="13" spans="1:12" x14ac:dyDescent="0.2">
      <c r="A13" s="56" t="s">
        <v>313</v>
      </c>
      <c r="B13" s="48">
        <f>'Data Input'!I79</f>
        <v>2.42</v>
      </c>
      <c r="C13" s="48">
        <f>'Data Input'!J79</f>
        <v>2.39</v>
      </c>
      <c r="D13" s="48">
        <f>'Data Input'!K79</f>
        <v>1.02</v>
      </c>
      <c r="E13" s="48">
        <f>'Data Input'!L79</f>
        <v>1.02</v>
      </c>
      <c r="F13" s="48" t="e">
        <f>'Data Input'!#REF!</f>
        <v>#REF!</v>
      </c>
      <c r="G13" s="48" t="e">
        <f>'Data Input'!#REF!</f>
        <v>#REF!</v>
      </c>
      <c r="H13" s="48" t="e">
        <f>'Data Input'!#REF!</f>
        <v>#REF!</v>
      </c>
      <c r="I13" s="48" t="e">
        <f>'Data Input'!#REF!</f>
        <v>#REF!</v>
      </c>
      <c r="J13" s="48" t="e">
        <f>'Data Input'!#REF!</f>
        <v>#REF!</v>
      </c>
      <c r="K13" s="48" t="e">
        <f>'Data Input'!#REF!</f>
        <v>#REF!</v>
      </c>
      <c r="L13" s="48" t="e">
        <f>'Data Input'!#REF!</f>
        <v>#REF!</v>
      </c>
    </row>
    <row r="14" spans="1:12" x14ac:dyDescent="0.2">
      <c r="A14" s="58" t="s">
        <v>314</v>
      </c>
      <c r="B14" s="49">
        <f>SUM(B12:B13)</f>
        <v>3.02</v>
      </c>
      <c r="C14" s="49">
        <f t="shared" ref="C14:I14" si="3">SUM(C12:C13)</f>
        <v>2.6</v>
      </c>
      <c r="D14" s="49">
        <f t="shared" si="3"/>
        <v>1.1400000000000001</v>
      </c>
      <c r="E14" s="49" t="e">
        <f t="shared" si="3"/>
        <v>#REF!</v>
      </c>
      <c r="F14" s="49" t="e">
        <f t="shared" si="3"/>
        <v>#REF!</v>
      </c>
      <c r="G14" s="49" t="e">
        <f t="shared" si="3"/>
        <v>#REF!</v>
      </c>
      <c r="H14" s="49" t="e">
        <f t="shared" si="3"/>
        <v>#REF!</v>
      </c>
      <c r="I14" s="49" t="e">
        <f t="shared" si="3"/>
        <v>#REF!</v>
      </c>
      <c r="J14" s="49" t="e">
        <f t="shared" ref="J14" si="4">SUM(J12:J13)</f>
        <v>#REF!</v>
      </c>
      <c r="K14" s="49" t="e">
        <f t="shared" ref="K14:L14" si="5">SUM(K12:K13)</f>
        <v>#REF!</v>
      </c>
      <c r="L14" s="49" t="e">
        <f t="shared" si="5"/>
        <v>#REF!</v>
      </c>
    </row>
    <row r="15" spans="1:12" x14ac:dyDescent="0.2">
      <c r="A15" s="58" t="s">
        <v>315</v>
      </c>
      <c r="B15" s="52">
        <f t="shared" ref="B15:L15" si="6">B11/B14</f>
        <v>2.9337748344370902</v>
      </c>
      <c r="C15" s="52">
        <f t="shared" si="6"/>
        <v>4.0192307692308091</v>
      </c>
      <c r="D15" s="52">
        <f t="shared" si="6"/>
        <v>10.210526315789499</v>
      </c>
      <c r="E15" s="52" t="e">
        <f t="shared" si="6"/>
        <v>#REF!</v>
      </c>
      <c r="F15" s="52" t="e">
        <f t="shared" si="6"/>
        <v>#REF!</v>
      </c>
      <c r="G15" s="52" t="e">
        <f t="shared" si="6"/>
        <v>#REF!</v>
      </c>
      <c r="H15" s="52" t="e">
        <f t="shared" si="6"/>
        <v>#REF!</v>
      </c>
      <c r="I15" s="52" t="e">
        <f t="shared" si="6"/>
        <v>#REF!</v>
      </c>
      <c r="J15" s="52" t="e">
        <f t="shared" si="6"/>
        <v>#REF!</v>
      </c>
      <c r="K15" s="52" t="e">
        <f t="shared" si="6"/>
        <v>#REF!</v>
      </c>
      <c r="L15" s="52" t="e">
        <f t="shared" si="6"/>
        <v>#REF!</v>
      </c>
    </row>
    <row r="16" spans="1:12" x14ac:dyDescent="0.2">
      <c r="A16" s="59" t="s">
        <v>316</v>
      </c>
      <c r="B16" s="133" t="e">
        <f>SUM(B11:H11)/SUM(B14:H14)</f>
        <v>#REF!</v>
      </c>
      <c r="C16" s="55"/>
      <c r="D16" s="55"/>
      <c r="E16" s="55"/>
      <c r="F16" s="55"/>
      <c r="G16" s="55"/>
      <c r="H16" s="55"/>
      <c r="I16" s="55"/>
    </row>
    <row r="17" spans="1:13" x14ac:dyDescent="0.2">
      <c r="B17" s="121">
        <f>B8+B7</f>
        <v>8.2600000000000122</v>
      </c>
      <c r="C17" s="121">
        <f t="shared" ref="C17:I17" si="7">C8+C7</f>
        <v>10.240000000000103</v>
      </c>
      <c r="D17" s="121">
        <f t="shared" si="7"/>
        <v>11.520000000000032</v>
      </c>
      <c r="E17" s="121" t="e">
        <f t="shared" si="7"/>
        <v>#REF!</v>
      </c>
      <c r="F17" s="121" t="e">
        <f t="shared" si="7"/>
        <v>#REF!</v>
      </c>
      <c r="G17" s="121" t="e">
        <f t="shared" si="7"/>
        <v>#REF!</v>
      </c>
      <c r="H17" s="121" t="e">
        <f t="shared" si="7"/>
        <v>#REF!</v>
      </c>
      <c r="I17" s="121" t="e">
        <f t="shared" si="7"/>
        <v>#REF!</v>
      </c>
    </row>
    <row r="18" spans="1:13" ht="14.25" x14ac:dyDescent="0.2">
      <c r="A18" s="53" t="s">
        <v>323</v>
      </c>
      <c r="B18" s="33" t="str">
        <f>+B5</f>
        <v>Audited</v>
      </c>
      <c r="C18" s="33" t="str">
        <f t="shared" ref="C18:L18" si="8">+C5</f>
        <v>Audited</v>
      </c>
      <c r="D18" s="33" t="str">
        <f t="shared" si="8"/>
        <v>Projected</v>
      </c>
      <c r="E18" s="33" t="str">
        <f t="shared" si="8"/>
        <v>Projected</v>
      </c>
      <c r="F18" s="33" t="e">
        <f t="shared" si="8"/>
        <v>#REF!</v>
      </c>
      <c r="G18" s="33" t="e">
        <f t="shared" si="8"/>
        <v>#REF!</v>
      </c>
      <c r="H18" s="33" t="e">
        <f t="shared" si="8"/>
        <v>#REF!</v>
      </c>
      <c r="I18" s="33" t="e">
        <f t="shared" si="8"/>
        <v>#REF!</v>
      </c>
      <c r="J18" s="33" t="e">
        <f t="shared" si="8"/>
        <v>#REF!</v>
      </c>
      <c r="K18" s="33" t="e">
        <f t="shared" si="8"/>
        <v>#REF!</v>
      </c>
      <c r="L18" s="33" t="e">
        <f t="shared" si="8"/>
        <v>#REF!</v>
      </c>
    </row>
    <row r="19" spans="1:13" x14ac:dyDescent="0.2">
      <c r="A19" s="58" t="s">
        <v>0</v>
      </c>
      <c r="B19" s="50">
        <f>+B6</f>
        <v>2024</v>
      </c>
      <c r="C19" s="50">
        <f t="shared" ref="C19:L19" si="9">+C6</f>
        <v>2025</v>
      </c>
      <c r="D19" s="50">
        <f t="shared" si="9"/>
        <v>2026</v>
      </c>
      <c r="E19" s="50" t="e">
        <f t="shared" si="9"/>
        <v>#REF!</v>
      </c>
      <c r="F19" s="50" t="e">
        <f t="shared" si="9"/>
        <v>#REF!</v>
      </c>
      <c r="G19" s="50" t="e">
        <f t="shared" si="9"/>
        <v>#REF!</v>
      </c>
      <c r="H19" s="50" t="e">
        <f t="shared" si="9"/>
        <v>#REF!</v>
      </c>
      <c r="I19" s="50" t="e">
        <f t="shared" si="9"/>
        <v>#REF!</v>
      </c>
      <c r="J19" s="50" t="e">
        <f t="shared" si="9"/>
        <v>#REF!</v>
      </c>
      <c r="K19" s="50" t="e">
        <f t="shared" si="9"/>
        <v>#REF!</v>
      </c>
      <c r="L19" s="50" t="e">
        <f t="shared" si="9"/>
        <v>#REF!</v>
      </c>
    </row>
    <row r="20" spans="1:13" x14ac:dyDescent="0.2">
      <c r="A20" s="50" t="s">
        <v>317</v>
      </c>
      <c r="B20" s="50">
        <v>0</v>
      </c>
      <c r="C20" s="50">
        <v>1</v>
      </c>
      <c r="D20" s="50">
        <v>2</v>
      </c>
      <c r="E20" s="50">
        <v>3</v>
      </c>
      <c r="F20" s="50">
        <v>4</v>
      </c>
      <c r="G20" s="50">
        <v>5</v>
      </c>
      <c r="H20" s="50">
        <v>6</v>
      </c>
      <c r="I20" s="50">
        <v>7</v>
      </c>
      <c r="J20" s="50">
        <v>8</v>
      </c>
      <c r="K20" s="50">
        <v>9</v>
      </c>
      <c r="L20" s="50">
        <v>10</v>
      </c>
    </row>
    <row r="21" spans="1:13" x14ac:dyDescent="0.2">
      <c r="A21" s="50" t="s">
        <v>318</v>
      </c>
      <c r="B21" s="48" t="e">
        <f>-'COP-MOF'!B16</f>
        <v>#VALUE!</v>
      </c>
      <c r="C21" s="82"/>
      <c r="D21" s="49"/>
      <c r="E21" s="49"/>
      <c r="F21" s="49"/>
      <c r="G21" s="49"/>
      <c r="H21" s="49"/>
      <c r="I21" s="49"/>
      <c r="J21" s="82"/>
      <c r="K21" s="83"/>
      <c r="L21" s="30"/>
    </row>
    <row r="22" spans="1:13" x14ac:dyDescent="0.2">
      <c r="A22" s="50" t="s">
        <v>319</v>
      </c>
      <c r="B22" s="48">
        <f>B7+B8+B10</f>
        <v>8.2600000000000122</v>
      </c>
      <c r="C22" s="48">
        <f t="shared" ref="C22:L22" si="10">C7+C8+C10</f>
        <v>10.240000000000103</v>
      </c>
      <c r="D22" s="48">
        <f t="shared" si="10"/>
        <v>11.520000000000032</v>
      </c>
      <c r="E22" s="48" t="e">
        <f t="shared" si="10"/>
        <v>#REF!</v>
      </c>
      <c r="F22" s="48" t="e">
        <f t="shared" si="10"/>
        <v>#REF!</v>
      </c>
      <c r="G22" s="48" t="e">
        <f t="shared" si="10"/>
        <v>#REF!</v>
      </c>
      <c r="H22" s="48" t="e">
        <f t="shared" si="10"/>
        <v>#REF!</v>
      </c>
      <c r="I22" s="48" t="e">
        <f t="shared" si="10"/>
        <v>#REF!</v>
      </c>
      <c r="J22" s="48" t="e">
        <f t="shared" si="10"/>
        <v>#REF!</v>
      </c>
      <c r="K22" s="48" t="e">
        <f t="shared" si="10"/>
        <v>#REF!</v>
      </c>
      <c r="L22" s="48" t="e">
        <f t="shared" si="10"/>
        <v>#REF!</v>
      </c>
    </row>
    <row r="23" spans="1:13" x14ac:dyDescent="0.2">
      <c r="A23" s="84" t="s">
        <v>320</v>
      </c>
      <c r="B23" s="72" t="e">
        <f>B21+B22</f>
        <v>#VALUE!</v>
      </c>
      <c r="C23" s="72">
        <f t="shared" ref="C23:L23" si="11">C21+C22</f>
        <v>10.240000000000103</v>
      </c>
      <c r="D23" s="72">
        <f t="shared" si="11"/>
        <v>11.520000000000032</v>
      </c>
      <c r="E23" s="72" t="e">
        <f t="shared" si="11"/>
        <v>#REF!</v>
      </c>
      <c r="F23" s="72" t="e">
        <f t="shared" si="11"/>
        <v>#REF!</v>
      </c>
      <c r="G23" s="72" t="e">
        <f t="shared" si="11"/>
        <v>#REF!</v>
      </c>
      <c r="H23" s="72" t="e">
        <f t="shared" si="11"/>
        <v>#REF!</v>
      </c>
      <c r="I23" s="72" t="e">
        <f t="shared" si="11"/>
        <v>#REF!</v>
      </c>
      <c r="J23" s="72" t="e">
        <f t="shared" si="11"/>
        <v>#REF!</v>
      </c>
      <c r="K23" s="72" t="e">
        <f t="shared" si="11"/>
        <v>#REF!</v>
      </c>
      <c r="L23" s="72" t="e">
        <f t="shared" si="11"/>
        <v>#REF!</v>
      </c>
      <c r="M23" s="57" t="e">
        <f>IF(L23=0, IRR(B23:K23), IF(K23=0, IRR(B23:J23), IF(J23=0, IRR(B23:I23), IF(I23=0, IRR(B23:H23), IF(H23=0, IRR(B23:G23), IF(G23=0, IRR(B23:F23), IF(F23=0, IRR(B23:E23), IF(E23=0, IRR(B23:D23), IF(D23=0, IRR(B23:C23), IF(C23=0, IRR(B23), IRR(B23:L23)))))))))))</f>
        <v>#REF!</v>
      </c>
    </row>
    <row r="24" spans="1:13" x14ac:dyDescent="0.2">
      <c r="A24" s="50" t="s">
        <v>321</v>
      </c>
      <c r="B24" s="134" t="e">
        <f>+M23</f>
        <v>#REF!</v>
      </c>
      <c r="C24" s="85"/>
      <c r="D24" s="85"/>
      <c r="E24" s="85"/>
      <c r="F24" s="85"/>
      <c r="G24" s="85"/>
      <c r="H24" s="85"/>
      <c r="I24" s="85"/>
      <c r="J24" s="86"/>
      <c r="K24" s="86"/>
    </row>
    <row r="25" spans="1:13" x14ac:dyDescent="0.2">
      <c r="B25" s="140"/>
      <c r="C25" s="121"/>
      <c r="D25" s="121"/>
      <c r="E25" s="121"/>
      <c r="F25" s="121"/>
      <c r="G25" s="121"/>
      <c r="H25" s="121"/>
      <c r="I25" s="121"/>
      <c r="J25" s="57"/>
      <c r="K25" s="57"/>
      <c r="L25" s="57"/>
    </row>
  </sheetData>
  <mergeCells count="4">
    <mergeCell ref="A1:L1"/>
    <mergeCell ref="A2:L2"/>
    <mergeCell ref="A3:L3"/>
    <mergeCell ref="A4:L4"/>
  </mergeCells>
  <pageMargins left="0.7" right="0.7" top="0.75" bottom="0.75" header="0.3" footer="0.3"/>
  <pageSetup scale="85" orientation="landscape" horizontalDpi="4294967295" verticalDpi="4294967295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4"/>
  <sheetViews>
    <sheetView view="pageBreakPreview" zoomScaleSheetLayoutView="100" workbookViewId="0">
      <selection activeCell="E21" sqref="E21"/>
    </sheetView>
  </sheetViews>
  <sheetFormatPr defaultColWidth="9.140625" defaultRowHeight="12.75" x14ac:dyDescent="0.2"/>
  <cols>
    <col min="1" max="1" width="32.42578125" style="3" bestFit="1" customWidth="1"/>
    <col min="2" max="2" width="10.85546875" style="3" bestFit="1" customWidth="1"/>
    <col min="3" max="9" width="10.140625" style="3" bestFit="1" customWidth="1"/>
    <col min="10" max="12" width="10.140625" style="3" hidden="1" customWidth="1"/>
    <col min="13" max="16384" width="9.140625" style="3"/>
  </cols>
  <sheetData>
    <row r="1" spans="1:12" ht="14.25" x14ac:dyDescent="0.2">
      <c r="A1" s="176" t="str">
        <f>+'Data Input'!B5</f>
        <v>Punjab National Bank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</row>
    <row r="2" spans="1:12" ht="14.25" x14ac:dyDescent="0.2">
      <c r="A2" s="176" t="str">
        <f>+'Data Input'!B6</f>
        <v>MCC Durgapur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</row>
    <row r="3" spans="1:12" ht="14.25" x14ac:dyDescent="0.2">
      <c r="A3" s="176" t="str">
        <f>+'Data Input'!B7</f>
        <v>Durgapur</v>
      </c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76"/>
    </row>
    <row r="4" spans="1:12" ht="14.25" x14ac:dyDescent="0.2">
      <c r="A4" s="176" t="str">
        <f>+'Data Input'!B4</f>
        <v>H R Ispat Pvt Ltd</v>
      </c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</row>
    <row r="5" spans="1:12" x14ac:dyDescent="0.2">
      <c r="A5" s="71"/>
      <c r="B5" s="38" t="str">
        <f>IF('Data Input'!I10="", "", 'Data Input'!I10)</f>
        <v>Audited</v>
      </c>
      <c r="C5" s="38" t="str">
        <f>IF('Data Input'!J10="", "", 'Data Input'!J10)</f>
        <v>Audited</v>
      </c>
      <c r="D5" s="38" t="str">
        <f>IF('Data Input'!K10="", "", 'Data Input'!K10)</f>
        <v>Projected</v>
      </c>
      <c r="E5" s="38" t="str">
        <f>IF('Data Input'!L10="", "", 'Data Input'!L10)</f>
        <v>Projected</v>
      </c>
      <c r="F5" s="38" t="e">
        <f>IF('Data Input'!#REF!="", "", 'Data Input'!#REF!)</f>
        <v>#REF!</v>
      </c>
      <c r="G5" s="38" t="e">
        <f>IF('Data Input'!#REF!="", "", 'Data Input'!#REF!)</f>
        <v>#REF!</v>
      </c>
      <c r="H5" s="38" t="e">
        <f>IF('Data Input'!#REF!="", "", 'Data Input'!#REF!)</f>
        <v>#REF!</v>
      </c>
      <c r="I5" s="38" t="e">
        <f>IF('Data Input'!#REF!="", "", 'Data Input'!#REF!)</f>
        <v>#REF!</v>
      </c>
      <c r="J5" s="38" t="e">
        <f>IF('Data Input'!#REF!="", "", 'Data Input'!#REF!)</f>
        <v>#REF!</v>
      </c>
      <c r="K5" s="38" t="e">
        <f>IF('Data Input'!#REF!="", "", 'Data Input'!#REF!)</f>
        <v>#REF!</v>
      </c>
      <c r="L5" s="38" t="e">
        <f>IF('Data Input'!#REF!="", "", 'Data Input'!#REF!)</f>
        <v>#REF!</v>
      </c>
    </row>
    <row r="6" spans="1:12" x14ac:dyDescent="0.2">
      <c r="A6" s="87" t="s">
        <v>0</v>
      </c>
      <c r="B6" s="38">
        <f>IF('Data Input'!I11="", "", 'Data Input'!I11)</f>
        <v>2023</v>
      </c>
      <c r="C6" s="38">
        <f>IF('Data Input'!J11="", "", 'Data Input'!J11)</f>
        <v>2024</v>
      </c>
      <c r="D6" s="38">
        <f>IF('Data Input'!K11="", "", 'Data Input'!K11)</f>
        <v>2025</v>
      </c>
      <c r="E6" s="38">
        <f>IF('Data Input'!L11="", "", 'Data Input'!L11)</f>
        <v>2026</v>
      </c>
      <c r="F6" s="38" t="e">
        <f>IF('Data Input'!#REF!="", "", 'Data Input'!#REF!)</f>
        <v>#REF!</v>
      </c>
      <c r="G6" s="38" t="e">
        <f>IF('Data Input'!#REF!="", "", 'Data Input'!#REF!)</f>
        <v>#REF!</v>
      </c>
      <c r="H6" s="38" t="e">
        <f>IF('Data Input'!#REF!="", "", 'Data Input'!#REF!)</f>
        <v>#REF!</v>
      </c>
      <c r="I6" s="38" t="e">
        <f>IF('Data Input'!#REF!="", "", 'Data Input'!#REF!)</f>
        <v>#REF!</v>
      </c>
      <c r="J6" s="38" t="e">
        <f>IF('Data Input'!#REF!="", "", 'Data Input'!#REF!)</f>
        <v>#REF!</v>
      </c>
      <c r="K6" s="38" t="e">
        <f>IF('Data Input'!#REF!="", "", 'Data Input'!#REF!)</f>
        <v>#REF!</v>
      </c>
      <c r="L6" s="38" t="e">
        <f>IF('Data Input'!#REF!="", "", 'Data Input'!#REF!)</f>
        <v>#REF!</v>
      </c>
    </row>
    <row r="7" spans="1:12" x14ac:dyDescent="0.2">
      <c r="A7" s="50" t="s">
        <v>343</v>
      </c>
      <c r="B7" s="50"/>
      <c r="C7" s="54"/>
      <c r="D7" s="54"/>
      <c r="E7" s="54"/>
      <c r="F7" s="54"/>
      <c r="G7" s="54"/>
      <c r="H7" s="54"/>
      <c r="I7" s="66"/>
      <c r="J7" s="30"/>
      <c r="K7" s="30"/>
      <c r="L7" s="30"/>
    </row>
    <row r="8" spans="1:12" x14ac:dyDescent="0.2">
      <c r="A8" s="51" t="s">
        <v>15</v>
      </c>
      <c r="B8" s="72">
        <f>'Data Input'!I29</f>
        <v>3.23</v>
      </c>
      <c r="C8" s="72">
        <f>'Data Input'!J29</f>
        <v>3.47</v>
      </c>
      <c r="D8" s="72">
        <f>'Data Input'!K29</f>
        <v>3.4</v>
      </c>
      <c r="E8" s="72">
        <f>'Data Input'!L29</f>
        <v>3.4</v>
      </c>
      <c r="F8" s="72" t="e">
        <f>'Data Input'!#REF!</f>
        <v>#REF!</v>
      </c>
      <c r="G8" s="72" t="e">
        <f>'Data Input'!#REF!</f>
        <v>#REF!</v>
      </c>
      <c r="H8" s="72" t="e">
        <f>'Data Input'!#REF!</f>
        <v>#REF!</v>
      </c>
      <c r="I8" s="72" t="e">
        <f>'Data Input'!#REF!</f>
        <v>#REF!</v>
      </c>
      <c r="J8" s="72" t="e">
        <f>'Data Input'!#REF!</f>
        <v>#REF!</v>
      </c>
      <c r="K8" s="72" t="e">
        <f>'Data Input'!#REF!</f>
        <v>#REF!</v>
      </c>
      <c r="L8" s="72" t="e">
        <f>'Data Input'!#REF!</f>
        <v>#REF!</v>
      </c>
    </row>
    <row r="9" spans="1:12" x14ac:dyDescent="0.2">
      <c r="A9" s="51" t="str">
        <f>+'[2]TEV-Profitability Total'!A29:B29</f>
        <v>Administrative &amp; Selling Expenses</v>
      </c>
      <c r="B9" s="72">
        <f>'Data Input'!I40</f>
        <v>1.9199999999999957</v>
      </c>
      <c r="C9" s="72">
        <f>'Data Input'!J40</f>
        <v>3.5999999999999952</v>
      </c>
      <c r="D9" s="72">
        <f>'Data Input'!K40</f>
        <v>3.17</v>
      </c>
      <c r="E9" s="72">
        <f>'Data Input'!L40</f>
        <v>3.62</v>
      </c>
      <c r="F9" s="72" t="e">
        <f>'Data Input'!#REF!</f>
        <v>#REF!</v>
      </c>
      <c r="G9" s="72" t="e">
        <f>'Data Input'!#REF!</f>
        <v>#REF!</v>
      </c>
      <c r="H9" s="72" t="e">
        <f>'Data Input'!#REF!</f>
        <v>#REF!</v>
      </c>
      <c r="I9" s="72" t="e">
        <f>'Data Input'!#REF!</f>
        <v>#REF!</v>
      </c>
      <c r="J9" s="72" t="e">
        <f>'Data Input'!#REF!</f>
        <v>#REF!</v>
      </c>
      <c r="K9" s="72" t="e">
        <f>'Data Input'!#REF!</f>
        <v>#REF!</v>
      </c>
      <c r="L9" s="72" t="e">
        <f>'Data Input'!#REF!</f>
        <v>#REF!</v>
      </c>
    </row>
    <row r="10" spans="1:12" x14ac:dyDescent="0.2">
      <c r="A10" s="72" t="s">
        <v>344</v>
      </c>
      <c r="B10" s="72">
        <f>'Data Input'!I47</f>
        <v>0.5</v>
      </c>
      <c r="C10" s="72">
        <f>'Data Input'!J47</f>
        <v>0.6</v>
      </c>
      <c r="D10" s="72">
        <f>'Data Input'!K47</f>
        <v>0.21</v>
      </c>
      <c r="E10" s="72">
        <f>'Data Input'!L47</f>
        <v>0.12</v>
      </c>
      <c r="F10" s="72" t="e">
        <f>'Data Input'!#REF!</f>
        <v>#REF!</v>
      </c>
      <c r="G10" s="72" t="e">
        <f>'Data Input'!#REF!</f>
        <v>#REF!</v>
      </c>
      <c r="H10" s="72" t="e">
        <f>'Data Input'!#REF!</f>
        <v>#REF!</v>
      </c>
      <c r="I10" s="72" t="e">
        <f>'Data Input'!#REF!</f>
        <v>#REF!</v>
      </c>
      <c r="J10" s="72" t="e">
        <f>'Data Input'!#REF!</f>
        <v>#REF!</v>
      </c>
      <c r="K10" s="72" t="e">
        <f>'Data Input'!#REF!</f>
        <v>#REF!</v>
      </c>
      <c r="L10" s="72" t="e">
        <f>'Data Input'!#REF!</f>
        <v>#REF!</v>
      </c>
    </row>
    <row r="11" spans="1:12" ht="25.5" x14ac:dyDescent="0.2">
      <c r="A11" s="73" t="s">
        <v>345</v>
      </c>
      <c r="B11" s="74">
        <f>'Data Input'!I35-'Data Input'!I29-'Data Input'!I21-'Data Input'!I24-'Data Input'!I25</f>
        <v>73.289999999999964</v>
      </c>
      <c r="C11" s="74">
        <f>'Data Input'!J35-'Data Input'!J29-'Data Input'!J21-'Data Input'!J24-'Data Input'!J25</f>
        <v>63.899999999999991</v>
      </c>
      <c r="D11" s="74">
        <f>'Data Input'!K35-'Data Input'!K29-'Data Input'!K21-'Data Input'!K24-'Data Input'!K25</f>
        <v>73.06</v>
      </c>
      <c r="E11" s="74">
        <f>'Data Input'!L35-'Data Input'!L29-'Data Input'!L21-'Data Input'!L24-'Data Input'!L25</f>
        <v>82.980000000000089</v>
      </c>
      <c r="F11" s="74" t="e">
        <f>'Data Input'!#REF!-'Data Input'!#REF!-'Data Input'!#REF!-'Data Input'!#REF!-'Data Input'!#REF!</f>
        <v>#REF!</v>
      </c>
      <c r="G11" s="74" t="e">
        <f>'Data Input'!#REF!-'Data Input'!#REF!-'Data Input'!#REF!-'Data Input'!#REF!-'Data Input'!#REF!</f>
        <v>#REF!</v>
      </c>
      <c r="H11" s="74" t="e">
        <f>'Data Input'!#REF!-'Data Input'!#REF!-'Data Input'!#REF!-'Data Input'!#REF!-'Data Input'!#REF!</f>
        <v>#REF!</v>
      </c>
      <c r="I11" s="74" t="e">
        <f>'Data Input'!#REF!-'Data Input'!#REF!-'Data Input'!#REF!-'Data Input'!#REF!-'Data Input'!#REF!</f>
        <v>#REF!</v>
      </c>
      <c r="J11" s="74" t="e">
        <f>'Data Input'!#REF!-'Data Input'!#REF!-'Data Input'!#REF!-'Data Input'!#REF!-'Data Input'!#REF!</f>
        <v>#REF!</v>
      </c>
      <c r="K11" s="74" t="e">
        <f>'Data Input'!#REF!-'Data Input'!#REF!-'Data Input'!#REF!-'Data Input'!#REF!-'Data Input'!#REF!</f>
        <v>#REF!</v>
      </c>
      <c r="L11" s="74" t="e">
        <f>'Data Input'!#REF!-'Data Input'!#REF!-'Data Input'!#REF!-'Data Input'!#REF!-'Data Input'!#REF!</f>
        <v>#REF!</v>
      </c>
    </row>
    <row r="12" spans="1:12" x14ac:dyDescent="0.2">
      <c r="A12" s="51" t="s">
        <v>346</v>
      </c>
      <c r="B12" s="72">
        <f>+B11*30%</f>
        <v>21.986999999999988</v>
      </c>
      <c r="C12" s="72">
        <f t="shared" ref="C12:L12" si="0">+C11*30%</f>
        <v>19.169999999999998</v>
      </c>
      <c r="D12" s="72">
        <f t="shared" si="0"/>
        <v>21.917999999999999</v>
      </c>
      <c r="E12" s="72">
        <f t="shared" si="0"/>
        <v>24.894000000000027</v>
      </c>
      <c r="F12" s="72" t="e">
        <f t="shared" si="0"/>
        <v>#REF!</v>
      </c>
      <c r="G12" s="72" t="e">
        <f t="shared" si="0"/>
        <v>#REF!</v>
      </c>
      <c r="H12" s="72" t="e">
        <f t="shared" si="0"/>
        <v>#REF!</v>
      </c>
      <c r="I12" s="72" t="e">
        <f t="shared" si="0"/>
        <v>#REF!</v>
      </c>
      <c r="J12" s="72" t="e">
        <f t="shared" si="0"/>
        <v>#REF!</v>
      </c>
      <c r="K12" s="72" t="e">
        <f t="shared" si="0"/>
        <v>#REF!</v>
      </c>
      <c r="L12" s="72" t="e">
        <f t="shared" si="0"/>
        <v>#REF!</v>
      </c>
    </row>
    <row r="13" spans="1:12" x14ac:dyDescent="0.2">
      <c r="A13" s="50" t="s">
        <v>347</v>
      </c>
      <c r="B13" s="75">
        <f>SUM(B8:B10)+B12</f>
        <v>27.636999999999983</v>
      </c>
      <c r="C13" s="75">
        <f t="shared" ref="C13:L13" si="1">SUM(C8:C10)+C12</f>
        <v>26.839999999999993</v>
      </c>
      <c r="D13" s="75">
        <f t="shared" si="1"/>
        <v>28.698</v>
      </c>
      <c r="E13" s="75">
        <f t="shared" si="1"/>
        <v>32.034000000000027</v>
      </c>
      <c r="F13" s="75" t="e">
        <f t="shared" si="1"/>
        <v>#REF!</v>
      </c>
      <c r="G13" s="75" t="e">
        <f t="shared" si="1"/>
        <v>#REF!</v>
      </c>
      <c r="H13" s="75" t="e">
        <f t="shared" si="1"/>
        <v>#REF!</v>
      </c>
      <c r="I13" s="75" t="e">
        <f t="shared" si="1"/>
        <v>#REF!</v>
      </c>
      <c r="J13" s="75" t="e">
        <f t="shared" si="1"/>
        <v>#REF!</v>
      </c>
      <c r="K13" s="75" t="e">
        <f t="shared" si="1"/>
        <v>#REF!</v>
      </c>
      <c r="L13" s="75" t="e">
        <f t="shared" si="1"/>
        <v>#REF!</v>
      </c>
    </row>
    <row r="14" spans="1:12" x14ac:dyDescent="0.2">
      <c r="A14" s="50" t="s">
        <v>348</v>
      </c>
      <c r="B14" s="52">
        <f>'Data Input'!I54</f>
        <v>10.580000000000064</v>
      </c>
      <c r="C14" s="52">
        <f>'Data Input'!J54</f>
        <v>7.0100000000000122</v>
      </c>
      <c r="D14" s="52">
        <f>'Data Input'!K54</f>
        <v>9.6600000000001032</v>
      </c>
      <c r="E14" s="52">
        <f>'Data Input'!L54</f>
        <v>12.100000000000032</v>
      </c>
      <c r="F14" s="52" t="e">
        <f>'Data Input'!#REF!</f>
        <v>#REF!</v>
      </c>
      <c r="G14" s="52" t="e">
        <f>'Data Input'!#REF!</f>
        <v>#REF!</v>
      </c>
      <c r="H14" s="52" t="e">
        <f>'Data Input'!#REF!</f>
        <v>#REF!</v>
      </c>
      <c r="I14" s="52" t="e">
        <f>'Data Input'!#REF!</f>
        <v>#REF!</v>
      </c>
      <c r="J14" s="52" t="e">
        <f>'Data Input'!#REF!</f>
        <v>#REF!</v>
      </c>
      <c r="K14" s="52" t="e">
        <f>'Data Input'!#REF!</f>
        <v>#REF!</v>
      </c>
      <c r="L14" s="52" t="e">
        <f>'Data Input'!#REF!</f>
        <v>#REF!</v>
      </c>
    </row>
    <row r="15" spans="1:12" x14ac:dyDescent="0.2">
      <c r="A15" s="50" t="s">
        <v>349</v>
      </c>
      <c r="B15" s="76">
        <f t="shared" ref="B15" si="2">B13/(B13+B14)</f>
        <v>0.72315985032838648</v>
      </c>
      <c r="C15" s="76">
        <f t="shared" ref="C15:L15" si="3">C13/(C13+C14)</f>
        <v>0.79290989660265843</v>
      </c>
      <c r="D15" s="76">
        <f t="shared" si="3"/>
        <v>0.74816205224464061</v>
      </c>
      <c r="E15" s="76">
        <f t="shared" si="3"/>
        <v>0.72583495717587321</v>
      </c>
      <c r="F15" s="76" t="e">
        <f t="shared" si="3"/>
        <v>#REF!</v>
      </c>
      <c r="G15" s="76" t="e">
        <f t="shared" si="3"/>
        <v>#REF!</v>
      </c>
      <c r="H15" s="76" t="e">
        <f t="shared" si="3"/>
        <v>#REF!</v>
      </c>
      <c r="I15" s="76" t="e">
        <f t="shared" si="3"/>
        <v>#REF!</v>
      </c>
      <c r="J15" s="76" t="e">
        <f t="shared" si="3"/>
        <v>#REF!</v>
      </c>
      <c r="K15" s="76" t="e">
        <f t="shared" si="3"/>
        <v>#REF!</v>
      </c>
      <c r="L15" s="76" t="e">
        <f t="shared" si="3"/>
        <v>#REF!</v>
      </c>
    </row>
    <row r="16" spans="1:12" x14ac:dyDescent="0.2">
      <c r="A16" s="52" t="s">
        <v>350</v>
      </c>
      <c r="B16" s="77">
        <f t="shared" ref="B16" si="4">(B13-B8)/(B13+B14)</f>
        <v>0.63864248894470921</v>
      </c>
      <c r="C16" s="77">
        <f t="shared" ref="C16:L16" si="5">(C13-C8)/(C13+C14)</f>
        <v>0.69039881831610006</v>
      </c>
      <c r="D16" s="77">
        <f t="shared" si="5"/>
        <v>0.65952343709265171</v>
      </c>
      <c r="E16" s="77">
        <f t="shared" si="5"/>
        <v>0.64879684596909393</v>
      </c>
      <c r="F16" s="77" t="e">
        <f t="shared" si="5"/>
        <v>#REF!</v>
      </c>
      <c r="G16" s="77" t="e">
        <f t="shared" si="5"/>
        <v>#REF!</v>
      </c>
      <c r="H16" s="77" t="e">
        <f t="shared" si="5"/>
        <v>#REF!</v>
      </c>
      <c r="I16" s="77" t="e">
        <f t="shared" si="5"/>
        <v>#REF!</v>
      </c>
      <c r="J16" s="77" t="e">
        <f t="shared" si="5"/>
        <v>#REF!</v>
      </c>
      <c r="K16" s="77" t="e">
        <f t="shared" si="5"/>
        <v>#REF!</v>
      </c>
      <c r="L16" s="77" t="e">
        <f t="shared" si="5"/>
        <v>#REF!</v>
      </c>
    </row>
    <row r="17" spans="1:12" x14ac:dyDescent="0.2">
      <c r="A17" s="50" t="s">
        <v>351</v>
      </c>
      <c r="B17" s="77">
        <f>B15*H18</f>
        <v>0</v>
      </c>
      <c r="C17" s="78">
        <f t="shared" ref="C17:L17" si="6">C15*I18</f>
        <v>0</v>
      </c>
      <c r="D17" s="78">
        <f t="shared" si="6"/>
        <v>0</v>
      </c>
      <c r="E17" s="78">
        <f t="shared" si="6"/>
        <v>0</v>
      </c>
      <c r="F17" s="78" t="e">
        <f t="shared" si="6"/>
        <v>#REF!</v>
      </c>
      <c r="G17" s="78" t="e">
        <f t="shared" si="6"/>
        <v>#REF!</v>
      </c>
      <c r="H17" s="78" t="e">
        <f t="shared" si="6"/>
        <v>#REF!</v>
      </c>
      <c r="I17" s="78" t="e">
        <f t="shared" si="6"/>
        <v>#REF!</v>
      </c>
      <c r="J17" s="78" t="e">
        <f t="shared" si="6"/>
        <v>#REF!</v>
      </c>
      <c r="K17" s="78" t="e">
        <f t="shared" si="6"/>
        <v>#REF!</v>
      </c>
      <c r="L17" s="78" t="e">
        <f t="shared" si="6"/>
        <v>#REF!</v>
      </c>
    </row>
    <row r="18" spans="1:12" x14ac:dyDescent="0.2">
      <c r="A18" s="50" t="s">
        <v>352</v>
      </c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</row>
    <row r="19" spans="1:12" x14ac:dyDescent="0.2">
      <c r="A19" s="50" t="s">
        <v>353</v>
      </c>
      <c r="B19" s="76">
        <f t="shared" ref="B19" si="7">+B15*B18</f>
        <v>0</v>
      </c>
      <c r="C19" s="76">
        <f t="shared" ref="C19:L19" si="8">+C15*C18</f>
        <v>0</v>
      </c>
      <c r="D19" s="76">
        <f t="shared" si="8"/>
        <v>0</v>
      </c>
      <c r="E19" s="76">
        <f t="shared" si="8"/>
        <v>0</v>
      </c>
      <c r="F19" s="76" t="e">
        <f t="shared" si="8"/>
        <v>#REF!</v>
      </c>
      <c r="G19" s="76" t="e">
        <f t="shared" si="8"/>
        <v>#REF!</v>
      </c>
      <c r="H19" s="76" t="e">
        <f t="shared" si="8"/>
        <v>#REF!</v>
      </c>
      <c r="I19" s="76" t="e">
        <f t="shared" si="8"/>
        <v>#REF!</v>
      </c>
      <c r="J19" s="76" t="e">
        <f t="shared" si="8"/>
        <v>#REF!</v>
      </c>
      <c r="K19" s="76" t="e">
        <f t="shared" si="8"/>
        <v>#REF!</v>
      </c>
      <c r="L19" s="76" t="e">
        <f t="shared" si="8"/>
        <v>#REF!</v>
      </c>
    </row>
    <row r="20" spans="1:12" x14ac:dyDescent="0.2">
      <c r="A20" s="51" t="s">
        <v>354</v>
      </c>
      <c r="B20" s="80">
        <f t="shared" ref="B20" si="9">B18*B16</f>
        <v>0</v>
      </c>
      <c r="C20" s="80">
        <f t="shared" ref="C20:L20" si="10">C18*C16</f>
        <v>0</v>
      </c>
      <c r="D20" s="80">
        <f t="shared" si="10"/>
        <v>0</v>
      </c>
      <c r="E20" s="80">
        <f t="shared" si="10"/>
        <v>0</v>
      </c>
      <c r="F20" s="80" t="e">
        <f t="shared" si="10"/>
        <v>#REF!</v>
      </c>
      <c r="G20" s="80" t="e">
        <f t="shared" si="10"/>
        <v>#REF!</v>
      </c>
      <c r="H20" s="80" t="e">
        <f t="shared" si="10"/>
        <v>#REF!</v>
      </c>
      <c r="I20" s="80" t="e">
        <f t="shared" si="10"/>
        <v>#REF!</v>
      </c>
      <c r="J20" s="80" t="e">
        <f t="shared" si="10"/>
        <v>#REF!</v>
      </c>
      <c r="K20" s="80" t="e">
        <f t="shared" si="10"/>
        <v>#REF!</v>
      </c>
      <c r="L20" s="80" t="e">
        <f t="shared" si="10"/>
        <v>#REF!</v>
      </c>
    </row>
    <row r="21" spans="1:12" x14ac:dyDescent="0.2">
      <c r="A21" s="180" t="s">
        <v>355</v>
      </c>
      <c r="B21" s="180"/>
      <c r="C21" s="180"/>
      <c r="D21" s="180"/>
      <c r="E21" s="67">
        <f>+E15</f>
        <v>0.72583495717587321</v>
      </c>
      <c r="F21" s="68"/>
      <c r="G21" s="68"/>
      <c r="H21" s="68"/>
      <c r="I21" s="69"/>
    </row>
    <row r="22" spans="1:12" x14ac:dyDescent="0.2">
      <c r="A22" s="181" t="s">
        <v>356</v>
      </c>
      <c r="B22" s="181"/>
      <c r="C22" s="181"/>
      <c r="D22" s="181"/>
      <c r="E22" s="81">
        <f>+E17</f>
        <v>0</v>
      </c>
      <c r="F22" s="70"/>
      <c r="G22" s="70"/>
      <c r="H22" s="70"/>
      <c r="I22" s="70"/>
    </row>
    <row r="23" spans="1:12" x14ac:dyDescent="0.2">
      <c r="A23" s="121"/>
      <c r="B23" s="121"/>
      <c r="C23" s="121"/>
      <c r="D23" s="121"/>
      <c r="E23" s="121"/>
      <c r="F23" s="121"/>
      <c r="G23" s="121"/>
    </row>
    <row r="24" spans="1:12" x14ac:dyDescent="0.2">
      <c r="A24" s="122"/>
      <c r="B24" s="122"/>
      <c r="C24" s="122"/>
      <c r="D24" s="122"/>
      <c r="E24" s="122"/>
      <c r="F24" s="122"/>
      <c r="G24" s="122"/>
    </row>
  </sheetData>
  <mergeCells count="6">
    <mergeCell ref="A21:D21"/>
    <mergeCell ref="A22:D22"/>
    <mergeCell ref="A1:L1"/>
    <mergeCell ref="A2:L2"/>
    <mergeCell ref="A3:L3"/>
    <mergeCell ref="A4:L4"/>
  </mergeCells>
  <pageMargins left="0.7" right="0.7" top="0.75" bottom="0.75" header="0.3" footer="0.3"/>
  <pageSetup scale="84" orientation="landscape" horizontalDpi="4294967295" verticalDpi="4294967295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52"/>
  <sheetViews>
    <sheetView view="pageBreakPreview" topLeftCell="A18" zoomScaleSheetLayoutView="100" workbookViewId="0">
      <selection activeCell="C7" sqref="C7"/>
    </sheetView>
  </sheetViews>
  <sheetFormatPr defaultColWidth="9.140625" defaultRowHeight="12.75" x14ac:dyDescent="0.2"/>
  <cols>
    <col min="1" max="1" width="8.28515625" style="3" customWidth="1"/>
    <col min="2" max="2" width="28.42578125" style="3" bestFit="1" customWidth="1"/>
    <col min="3" max="3" width="13.42578125" style="3" bestFit="1" customWidth="1"/>
    <col min="4" max="10" width="12.7109375" style="3" bestFit="1" customWidth="1"/>
    <col min="11" max="11" width="7.28515625" style="3" bestFit="1" customWidth="1"/>
    <col min="12" max="16384" width="9.140625" style="3"/>
  </cols>
  <sheetData>
    <row r="1" spans="1:10" ht="14.25" x14ac:dyDescent="0.2">
      <c r="B1" s="176" t="str">
        <f>'Data Input'!B5</f>
        <v>Punjab National Bank</v>
      </c>
      <c r="C1" s="176"/>
      <c r="D1" s="176"/>
      <c r="E1" s="176"/>
      <c r="F1" s="176"/>
      <c r="G1" s="176"/>
      <c r="H1" s="176"/>
      <c r="I1" s="176"/>
      <c r="J1" s="176"/>
    </row>
    <row r="2" spans="1:10" ht="14.25" x14ac:dyDescent="0.2">
      <c r="B2" s="176" t="str">
        <f>'Data Input'!B6</f>
        <v>MCC Durgapur</v>
      </c>
      <c r="C2" s="176"/>
      <c r="D2" s="176"/>
      <c r="E2" s="176"/>
      <c r="F2" s="176"/>
      <c r="G2" s="176"/>
      <c r="H2" s="176"/>
      <c r="I2" s="176"/>
      <c r="J2" s="176"/>
    </row>
    <row r="3" spans="1:10" ht="14.25" x14ac:dyDescent="0.2">
      <c r="B3" s="176" t="str">
        <f>'Data Input'!B7</f>
        <v>Durgapur</v>
      </c>
      <c r="C3" s="176"/>
      <c r="D3" s="176"/>
      <c r="E3" s="176"/>
      <c r="F3" s="176"/>
      <c r="G3" s="176"/>
      <c r="H3" s="176"/>
      <c r="I3" s="176"/>
      <c r="J3" s="176"/>
    </row>
    <row r="4" spans="1:10" ht="14.25" x14ac:dyDescent="0.2">
      <c r="A4" s="69"/>
      <c r="B4" s="176" t="str">
        <f>'Data Input'!B4</f>
        <v>H R Ispat Pvt Ltd</v>
      </c>
      <c r="C4" s="176"/>
      <c r="D4" s="176"/>
      <c r="E4" s="176"/>
      <c r="F4" s="176"/>
      <c r="G4" s="176"/>
      <c r="H4" s="176"/>
      <c r="I4" s="176"/>
      <c r="J4" s="176"/>
    </row>
    <row r="5" spans="1:10" ht="14.25" x14ac:dyDescent="0.2">
      <c r="A5" s="69"/>
      <c r="B5" s="105" t="s">
        <v>380</v>
      </c>
      <c r="C5" s="38" t="str">
        <f>IF('Data Input'!I10="", "", 'Data Input'!I10)</f>
        <v>Audited</v>
      </c>
      <c r="D5" s="38" t="str">
        <f>IF('Data Input'!J10="", "", 'Data Input'!J10)</f>
        <v>Audited</v>
      </c>
      <c r="E5" s="38" t="str">
        <f>IF('Data Input'!K10="", "", 'Data Input'!K10)</f>
        <v>Projected</v>
      </c>
      <c r="F5" s="38" t="str">
        <f>IF('Data Input'!L10="", "", 'Data Input'!L10)</f>
        <v>Projected</v>
      </c>
      <c r="G5" s="38" t="e">
        <f>IF('Data Input'!#REF!="", "", 'Data Input'!#REF!)</f>
        <v>#REF!</v>
      </c>
      <c r="H5" s="38" t="e">
        <f>IF('Data Input'!#REF!="", "", 'Data Input'!#REF!)</f>
        <v>#REF!</v>
      </c>
      <c r="I5" s="38" t="e">
        <f>IF('Data Input'!#REF!="", "", 'Data Input'!#REF!)</f>
        <v>#REF!</v>
      </c>
      <c r="J5" s="38" t="e">
        <f>IF('Data Input'!#REF!="", "", 'Data Input'!#REF!)</f>
        <v>#REF!</v>
      </c>
    </row>
    <row r="6" spans="1:10" x14ac:dyDescent="0.2">
      <c r="A6" s="100" t="s">
        <v>336</v>
      </c>
      <c r="B6" s="89" t="s">
        <v>357</v>
      </c>
      <c r="C6" s="38">
        <f>IF('Data Input'!J11="", "", 'Data Input'!J11)</f>
        <v>2024</v>
      </c>
      <c r="D6" s="38">
        <f>IF('Data Input'!K11="", "", 'Data Input'!K11)</f>
        <v>2025</v>
      </c>
      <c r="E6" s="38">
        <f>IF('Data Input'!L11="", "", 'Data Input'!L11)</f>
        <v>2026</v>
      </c>
      <c r="F6" s="38" t="e">
        <f>IF('Data Input'!#REF!="", "", 'Data Input'!#REF!)</f>
        <v>#REF!</v>
      </c>
      <c r="G6" s="38" t="e">
        <f>IF('Data Input'!#REF!="", "", 'Data Input'!#REF!)</f>
        <v>#REF!</v>
      </c>
      <c r="H6" s="38" t="e">
        <f>IF('Data Input'!#REF!="", "", 'Data Input'!#REF!)</f>
        <v>#REF!</v>
      </c>
      <c r="I6" s="38" t="e">
        <f>IF('Data Input'!#REF!="", "", 'Data Input'!#REF!)</f>
        <v>#REF!</v>
      </c>
      <c r="J6" s="38" t="e">
        <f>IF('Data Input'!#REF!="", "", 'Data Input'!#REF!)</f>
        <v>#REF!</v>
      </c>
    </row>
    <row r="7" spans="1:10" x14ac:dyDescent="0.2">
      <c r="A7" s="101">
        <v>1</v>
      </c>
      <c r="B7" s="66" t="s">
        <v>190</v>
      </c>
      <c r="C7" s="90">
        <f>'Data Input'!J18</f>
        <v>471.12</v>
      </c>
      <c r="D7" s="90">
        <f>'Data Input'!K18</f>
        <v>528.88</v>
      </c>
      <c r="E7" s="90">
        <f>'Data Input'!L18</f>
        <v>603.94000000000005</v>
      </c>
      <c r="F7" s="90" t="e">
        <f>'Data Input'!#REF!</f>
        <v>#REF!</v>
      </c>
      <c r="G7" s="90" t="e">
        <f>'Data Input'!#REF!</f>
        <v>#REF!</v>
      </c>
      <c r="H7" s="90" t="e">
        <f>'Data Input'!#REF!</f>
        <v>#REF!</v>
      </c>
      <c r="I7" s="90" t="e">
        <f>'Data Input'!#REF!</f>
        <v>#REF!</v>
      </c>
      <c r="J7" s="90" t="e">
        <f>'Data Input'!#REF!</f>
        <v>#REF!</v>
      </c>
    </row>
    <row r="8" spans="1:10" x14ac:dyDescent="0.2">
      <c r="A8" s="101">
        <v>1.05</v>
      </c>
      <c r="B8" s="66" t="s">
        <v>358</v>
      </c>
      <c r="C8" s="90">
        <f>'Data Input'!J21*$A$8</f>
        <v>403.58850000000001</v>
      </c>
      <c r="D8" s="90">
        <f>'Data Input'!K21*$A$8</f>
        <v>457.67400000000004</v>
      </c>
      <c r="E8" s="90">
        <f>'Data Input'!L21*$A$8</f>
        <v>515.84399999999994</v>
      </c>
      <c r="F8" s="90" t="e">
        <f>'Data Input'!#REF!*$A$8</f>
        <v>#REF!</v>
      </c>
      <c r="G8" s="90" t="e">
        <f>'Data Input'!#REF!*$A$8</f>
        <v>#REF!</v>
      </c>
      <c r="H8" s="90" t="e">
        <f>'Data Input'!#REF!*$A$8</f>
        <v>#REF!</v>
      </c>
      <c r="I8" s="90" t="e">
        <f>'Data Input'!#REF!*$A$8</f>
        <v>#REF!</v>
      </c>
      <c r="J8" s="90" t="e">
        <f>'Data Input'!#REF!*$A$8</f>
        <v>#REF!</v>
      </c>
    </row>
    <row r="9" spans="1:10" x14ac:dyDescent="0.2">
      <c r="A9" s="101">
        <v>1</v>
      </c>
      <c r="B9" s="66" t="s">
        <v>192</v>
      </c>
      <c r="C9" s="90">
        <f>C7-'Data Input'!J54-'Data Input'!J21</f>
        <v>79.740000000000009</v>
      </c>
      <c r="D9" s="90">
        <f>D7-'Data Input'!K54-'Data Input'!K21</f>
        <v>83.339999999999918</v>
      </c>
      <c r="E9" s="90">
        <f>E7-'Data Input'!L54-'Data Input'!L21</f>
        <v>100.56000000000006</v>
      </c>
      <c r="F9" s="90" t="e">
        <f>F7-'Data Input'!#REF!-'Data Input'!#REF!</f>
        <v>#REF!</v>
      </c>
      <c r="G9" s="90" t="e">
        <f>G7-'Data Input'!#REF!-'Data Input'!#REF!</f>
        <v>#REF!</v>
      </c>
      <c r="H9" s="90" t="e">
        <f>H7-'Data Input'!#REF!-'Data Input'!#REF!</f>
        <v>#REF!</v>
      </c>
      <c r="I9" s="90" t="e">
        <f>I7-'Data Input'!#REF!-'Data Input'!#REF!</f>
        <v>#REF!</v>
      </c>
      <c r="J9" s="90" t="e">
        <f>J7-'Data Input'!#REF!-'Data Input'!#REF!</f>
        <v>#REF!</v>
      </c>
    </row>
    <row r="10" spans="1:10" x14ac:dyDescent="0.2">
      <c r="A10" s="182"/>
      <c r="B10" s="66" t="s">
        <v>359</v>
      </c>
      <c r="C10" s="90">
        <f>C7-C8-C9</f>
        <v>-12.208500000000015</v>
      </c>
      <c r="D10" s="90">
        <f t="shared" ref="D10:J10" si="0">D7-D8-D9</f>
        <v>-12.133999999999958</v>
      </c>
      <c r="E10" s="90">
        <f t="shared" si="0"/>
        <v>-12.463999999999942</v>
      </c>
      <c r="F10" s="90" t="e">
        <f t="shared" si="0"/>
        <v>#REF!</v>
      </c>
      <c r="G10" s="90" t="e">
        <f t="shared" si="0"/>
        <v>#REF!</v>
      </c>
      <c r="H10" s="90" t="e">
        <f t="shared" si="0"/>
        <v>#REF!</v>
      </c>
      <c r="I10" s="90" t="e">
        <f t="shared" si="0"/>
        <v>#REF!</v>
      </c>
      <c r="J10" s="90" t="e">
        <f t="shared" si="0"/>
        <v>#REF!</v>
      </c>
    </row>
    <row r="11" spans="1:10" x14ac:dyDescent="0.2">
      <c r="A11" s="182"/>
      <c r="B11" s="66" t="s">
        <v>122</v>
      </c>
      <c r="C11" s="90">
        <f>'Tax Calulator - Ref'!C31</f>
        <v>0</v>
      </c>
      <c r="D11" s="90">
        <f>'Tax Calulator - Ref'!D31</f>
        <v>0</v>
      </c>
      <c r="E11" s="90">
        <f>'Tax Calulator - Ref'!E31</f>
        <v>0</v>
      </c>
      <c r="F11" s="90" t="e">
        <f>'Tax Calulator - Ref'!F31</f>
        <v>#REF!</v>
      </c>
      <c r="G11" s="90" t="e">
        <f>'Tax Calulator - Ref'!G31</f>
        <v>#REF!</v>
      </c>
      <c r="H11" s="90" t="e">
        <f>'Tax Calulator - Ref'!H31</f>
        <v>#REF!</v>
      </c>
      <c r="I11" s="90" t="e">
        <f>'Tax Calulator - Ref'!I31</f>
        <v>#REF!</v>
      </c>
      <c r="J11" s="90" t="e">
        <f>'Tax Calulator - Ref'!J31</f>
        <v>#REF!</v>
      </c>
    </row>
    <row r="12" spans="1:10" x14ac:dyDescent="0.2">
      <c r="A12" s="182"/>
      <c r="B12" s="66" t="s">
        <v>360</v>
      </c>
      <c r="C12" s="90">
        <f>C10-C11</f>
        <v>-12.208500000000015</v>
      </c>
      <c r="D12" s="90">
        <f t="shared" ref="D12:J12" si="1">D10-D11</f>
        <v>-12.133999999999958</v>
      </c>
      <c r="E12" s="90">
        <f t="shared" si="1"/>
        <v>-12.463999999999942</v>
      </c>
      <c r="F12" s="90" t="e">
        <f t="shared" si="1"/>
        <v>#REF!</v>
      </c>
      <c r="G12" s="90" t="e">
        <f t="shared" si="1"/>
        <v>#REF!</v>
      </c>
      <c r="H12" s="90" t="e">
        <f t="shared" si="1"/>
        <v>#REF!</v>
      </c>
      <c r="I12" s="90" t="e">
        <f t="shared" si="1"/>
        <v>#REF!</v>
      </c>
      <c r="J12" s="90" t="e">
        <f t="shared" si="1"/>
        <v>#REF!</v>
      </c>
    </row>
    <row r="13" spans="1:10" x14ac:dyDescent="0.2">
      <c r="A13" s="182"/>
      <c r="B13" s="66" t="s">
        <v>15</v>
      </c>
      <c r="C13" s="90">
        <f>'Data Input'!J29</f>
        <v>3.47</v>
      </c>
      <c r="D13" s="90">
        <f>'Data Input'!K29</f>
        <v>3.4</v>
      </c>
      <c r="E13" s="90">
        <f>'Data Input'!L29</f>
        <v>3.4</v>
      </c>
      <c r="F13" s="90" t="e">
        <f>'Data Input'!#REF!</f>
        <v>#REF!</v>
      </c>
      <c r="G13" s="90" t="e">
        <f>'Data Input'!#REF!</f>
        <v>#REF!</v>
      </c>
      <c r="H13" s="90" t="e">
        <f>'Data Input'!#REF!</f>
        <v>#REF!</v>
      </c>
      <c r="I13" s="90" t="e">
        <f>'Data Input'!#REF!</f>
        <v>#REF!</v>
      </c>
      <c r="J13" s="90" t="e">
        <f>'Data Input'!#REF!</f>
        <v>#REF!</v>
      </c>
    </row>
    <row r="14" spans="1:10" x14ac:dyDescent="0.2">
      <c r="A14" s="182"/>
      <c r="B14" s="184" t="s">
        <v>361</v>
      </c>
      <c r="C14" s="184"/>
      <c r="D14" s="184"/>
      <c r="E14" s="184"/>
      <c r="F14" s="184"/>
      <c r="G14" s="184"/>
      <c r="H14" s="184"/>
      <c r="I14" s="184"/>
      <c r="J14" s="184"/>
    </row>
    <row r="15" spans="1:10" x14ac:dyDescent="0.2">
      <c r="A15" s="182"/>
      <c r="B15" s="66" t="s">
        <v>362</v>
      </c>
      <c r="C15" s="90">
        <f>+C12</f>
        <v>-12.208500000000015</v>
      </c>
      <c r="D15" s="90">
        <f>+D12</f>
        <v>-12.133999999999958</v>
      </c>
      <c r="E15" s="90">
        <f t="shared" ref="E15:J15" si="2">+E12</f>
        <v>-12.463999999999942</v>
      </c>
      <c r="F15" s="90" t="e">
        <f t="shared" si="2"/>
        <v>#REF!</v>
      </c>
      <c r="G15" s="90" t="e">
        <f t="shared" si="2"/>
        <v>#REF!</v>
      </c>
      <c r="H15" s="90" t="e">
        <f t="shared" si="2"/>
        <v>#REF!</v>
      </c>
      <c r="I15" s="90" t="e">
        <f t="shared" si="2"/>
        <v>#REF!</v>
      </c>
      <c r="J15" s="90" t="e">
        <f t="shared" si="2"/>
        <v>#REF!</v>
      </c>
    </row>
    <row r="16" spans="1:10" x14ac:dyDescent="0.2">
      <c r="A16" s="182"/>
      <c r="B16" s="66" t="s">
        <v>15</v>
      </c>
      <c r="C16" s="90">
        <f>+C13</f>
        <v>3.47</v>
      </c>
      <c r="D16" s="90">
        <f t="shared" ref="D16:J16" si="3">+D13</f>
        <v>3.4</v>
      </c>
      <c r="E16" s="90">
        <f t="shared" si="3"/>
        <v>3.4</v>
      </c>
      <c r="F16" s="90" t="e">
        <f t="shared" si="3"/>
        <v>#REF!</v>
      </c>
      <c r="G16" s="90" t="e">
        <f t="shared" si="3"/>
        <v>#REF!</v>
      </c>
      <c r="H16" s="90" t="e">
        <f t="shared" si="3"/>
        <v>#REF!</v>
      </c>
      <c r="I16" s="90" t="e">
        <f t="shared" si="3"/>
        <v>#REF!</v>
      </c>
      <c r="J16" s="90" t="e">
        <f t="shared" si="3"/>
        <v>#REF!</v>
      </c>
    </row>
    <row r="17" spans="1:11" x14ac:dyDescent="0.2">
      <c r="A17" s="182"/>
      <c r="B17" s="66" t="s">
        <v>363</v>
      </c>
      <c r="C17" s="90">
        <f>+'DSCR &amp; IRR'!B12</f>
        <v>0.6</v>
      </c>
      <c r="D17" s="90">
        <f>+'DSCR &amp; IRR'!C12</f>
        <v>0.21</v>
      </c>
      <c r="E17" s="90">
        <f>+'DSCR &amp; IRR'!D12</f>
        <v>0.12</v>
      </c>
      <c r="F17" s="90" t="e">
        <f>+'DSCR &amp; IRR'!E12</f>
        <v>#REF!</v>
      </c>
      <c r="G17" s="90" t="e">
        <f>+'DSCR &amp; IRR'!F12</f>
        <v>#REF!</v>
      </c>
      <c r="H17" s="90" t="e">
        <f>+'DSCR &amp; IRR'!G12</f>
        <v>#REF!</v>
      </c>
      <c r="I17" s="90" t="e">
        <f>+'DSCR &amp; IRR'!H12</f>
        <v>#REF!</v>
      </c>
      <c r="J17" s="90" t="e">
        <f>+'DSCR &amp; IRR'!I12</f>
        <v>#REF!</v>
      </c>
    </row>
    <row r="18" spans="1:11" x14ac:dyDescent="0.2">
      <c r="A18" s="182"/>
      <c r="B18" s="66" t="s">
        <v>64</v>
      </c>
      <c r="C18" s="90">
        <v>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</row>
    <row r="19" spans="1:11" x14ac:dyDescent="0.2">
      <c r="A19" s="182"/>
      <c r="B19" s="91" t="s">
        <v>364</v>
      </c>
      <c r="C19" s="92">
        <f>SUM(C15:C18)</f>
        <v>-8.1385000000000147</v>
      </c>
      <c r="D19" s="92">
        <f t="shared" ref="D19:J19" si="4">SUM(D15:D18)</f>
        <v>-8.5239999999999565</v>
      </c>
      <c r="E19" s="92">
        <f t="shared" si="4"/>
        <v>-8.9439999999999422</v>
      </c>
      <c r="F19" s="92" t="e">
        <f t="shared" si="4"/>
        <v>#REF!</v>
      </c>
      <c r="G19" s="92" t="e">
        <f t="shared" si="4"/>
        <v>#REF!</v>
      </c>
      <c r="H19" s="92" t="e">
        <f t="shared" si="4"/>
        <v>#REF!</v>
      </c>
      <c r="I19" s="92" t="e">
        <f t="shared" si="4"/>
        <v>#REF!</v>
      </c>
      <c r="J19" s="92" t="e">
        <f t="shared" si="4"/>
        <v>#REF!</v>
      </c>
    </row>
    <row r="20" spans="1:11" x14ac:dyDescent="0.2">
      <c r="A20" s="182"/>
      <c r="B20" s="66" t="s">
        <v>363</v>
      </c>
      <c r="C20" s="90">
        <f>+C17</f>
        <v>0.6</v>
      </c>
      <c r="D20" s="90">
        <f t="shared" ref="D20:J20" si="5">+D17</f>
        <v>0.21</v>
      </c>
      <c r="E20" s="90">
        <f t="shared" si="5"/>
        <v>0.12</v>
      </c>
      <c r="F20" s="90" t="e">
        <f t="shared" si="5"/>
        <v>#REF!</v>
      </c>
      <c r="G20" s="90" t="e">
        <f t="shared" si="5"/>
        <v>#REF!</v>
      </c>
      <c r="H20" s="90" t="e">
        <f t="shared" si="5"/>
        <v>#REF!</v>
      </c>
      <c r="I20" s="90" t="e">
        <f t="shared" si="5"/>
        <v>#REF!</v>
      </c>
      <c r="J20" s="90" t="e">
        <f t="shared" si="5"/>
        <v>#REF!</v>
      </c>
    </row>
    <row r="21" spans="1:11" x14ac:dyDescent="0.2">
      <c r="A21" s="182"/>
      <c r="B21" s="66" t="s">
        <v>365</v>
      </c>
      <c r="C21" s="90">
        <f>'DSCR &amp; IRR'!B13</f>
        <v>2.42</v>
      </c>
      <c r="D21" s="90">
        <f>'DSCR &amp; IRR'!C13</f>
        <v>2.39</v>
      </c>
      <c r="E21" s="90">
        <f>'DSCR &amp; IRR'!D13</f>
        <v>1.02</v>
      </c>
      <c r="F21" s="90">
        <f>'DSCR &amp; IRR'!E13</f>
        <v>1.02</v>
      </c>
      <c r="G21" s="90" t="e">
        <f>'DSCR &amp; IRR'!F13</f>
        <v>#REF!</v>
      </c>
      <c r="H21" s="90" t="e">
        <f>'DSCR &amp; IRR'!G13</f>
        <v>#REF!</v>
      </c>
      <c r="I21" s="90" t="e">
        <f>'DSCR &amp; IRR'!H13</f>
        <v>#REF!</v>
      </c>
      <c r="J21" s="90" t="e">
        <f>'DSCR &amp; IRR'!I13</f>
        <v>#REF!</v>
      </c>
    </row>
    <row r="22" spans="1:11" x14ac:dyDescent="0.2">
      <c r="A22" s="182"/>
      <c r="B22" s="91" t="s">
        <v>366</v>
      </c>
      <c r="C22" s="92">
        <f t="shared" ref="C22:J22" si="6">SUM(C20:C21)</f>
        <v>3.02</v>
      </c>
      <c r="D22" s="92">
        <f t="shared" si="6"/>
        <v>2.6</v>
      </c>
      <c r="E22" s="92">
        <f t="shared" si="6"/>
        <v>1.1400000000000001</v>
      </c>
      <c r="F22" s="92" t="e">
        <f t="shared" si="6"/>
        <v>#REF!</v>
      </c>
      <c r="G22" s="92" t="e">
        <f t="shared" si="6"/>
        <v>#REF!</v>
      </c>
      <c r="H22" s="92" t="e">
        <f t="shared" si="6"/>
        <v>#REF!</v>
      </c>
      <c r="I22" s="92" t="e">
        <f t="shared" si="6"/>
        <v>#REF!</v>
      </c>
      <c r="J22" s="92" t="e">
        <f t="shared" si="6"/>
        <v>#REF!</v>
      </c>
    </row>
    <row r="23" spans="1:11" x14ac:dyDescent="0.2">
      <c r="A23" s="182"/>
      <c r="B23" s="91" t="s">
        <v>315</v>
      </c>
      <c r="C23" s="92">
        <f t="shared" ref="C23:J23" si="7">+C19/C22</f>
        <v>-2.6948675496688792</v>
      </c>
      <c r="D23" s="103">
        <f t="shared" si="7"/>
        <v>-3.2784615384615217</v>
      </c>
      <c r="E23" s="92">
        <f t="shared" si="7"/>
        <v>-7.8456140350876682</v>
      </c>
      <c r="F23" s="92" t="e">
        <f t="shared" si="7"/>
        <v>#REF!</v>
      </c>
      <c r="G23" s="92" t="e">
        <f t="shared" si="7"/>
        <v>#REF!</v>
      </c>
      <c r="H23" s="92" t="e">
        <f t="shared" si="7"/>
        <v>#REF!</v>
      </c>
      <c r="I23" s="92" t="e">
        <f t="shared" si="7"/>
        <v>#REF!</v>
      </c>
      <c r="J23" s="92" t="e">
        <f t="shared" si="7"/>
        <v>#REF!</v>
      </c>
    </row>
    <row r="24" spans="1:11" ht="14.25" x14ac:dyDescent="0.2">
      <c r="A24" s="183"/>
      <c r="B24" s="91" t="s">
        <v>367</v>
      </c>
      <c r="C24" s="88" t="e">
        <f>SUM(C19:I19)/SUM(C22:I22)</f>
        <v>#REF!</v>
      </c>
      <c r="D24" s="93"/>
      <c r="E24" s="93"/>
      <c r="F24" s="93"/>
      <c r="G24" s="93"/>
      <c r="H24" s="93"/>
      <c r="I24" s="93"/>
      <c r="J24" s="93"/>
    </row>
    <row r="25" spans="1:11" x14ac:dyDescent="0.2">
      <c r="A25" s="94"/>
      <c r="B25" s="184" t="s">
        <v>368</v>
      </c>
      <c r="C25" s="184"/>
      <c r="D25" s="184"/>
      <c r="E25" s="184"/>
      <c r="F25" s="184"/>
      <c r="G25" s="184"/>
      <c r="H25" s="184"/>
      <c r="I25" s="184"/>
      <c r="J25" s="184"/>
    </row>
    <row r="26" spans="1:11" x14ac:dyDescent="0.2">
      <c r="A26" s="94"/>
      <c r="B26" s="95" t="s">
        <v>369</v>
      </c>
      <c r="C26" s="99" t="e">
        <f>'DSCR &amp; IRR'!B21</f>
        <v>#VALUE!</v>
      </c>
      <c r="D26" s="99">
        <f>'DSCR &amp; IRR'!C21</f>
        <v>0</v>
      </c>
      <c r="E26" s="99">
        <f>'DSCR &amp; IRR'!D21</f>
        <v>0</v>
      </c>
      <c r="F26" s="99">
        <f>'DSCR &amp; IRR'!E21</f>
        <v>0</v>
      </c>
      <c r="G26" s="99">
        <f>'DSCR &amp; IRR'!F21</f>
        <v>0</v>
      </c>
      <c r="H26" s="99">
        <f>'DSCR &amp; IRR'!G21</f>
        <v>0</v>
      </c>
      <c r="I26" s="99">
        <f>'DSCR &amp; IRR'!H21</f>
        <v>0</v>
      </c>
      <c r="J26" s="99">
        <f>'DSCR &amp; IRR'!I21</f>
        <v>0</v>
      </c>
    </row>
    <row r="27" spans="1:11" x14ac:dyDescent="0.2">
      <c r="A27" s="94"/>
      <c r="B27" s="95" t="s">
        <v>370</v>
      </c>
      <c r="C27" s="96">
        <f>+C19-C17</f>
        <v>-8.7385000000000144</v>
      </c>
      <c r="D27" s="96">
        <f t="shared" ref="D27:J27" si="8">+D19-D17</f>
        <v>-8.7339999999999574</v>
      </c>
      <c r="E27" s="96">
        <f t="shared" si="8"/>
        <v>-9.0639999999999414</v>
      </c>
      <c r="F27" s="96" t="e">
        <f t="shared" si="8"/>
        <v>#REF!</v>
      </c>
      <c r="G27" s="96" t="e">
        <f t="shared" si="8"/>
        <v>#REF!</v>
      </c>
      <c r="H27" s="96" t="e">
        <f t="shared" si="8"/>
        <v>#REF!</v>
      </c>
      <c r="I27" s="96" t="e">
        <f t="shared" si="8"/>
        <v>#REF!</v>
      </c>
      <c r="J27" s="96" t="e">
        <f t="shared" si="8"/>
        <v>#REF!</v>
      </c>
      <c r="K27" s="98">
        <f>+K19-K17</f>
        <v>0</v>
      </c>
    </row>
    <row r="28" spans="1:11" ht="14.25" x14ac:dyDescent="0.2">
      <c r="A28" s="94"/>
      <c r="B28" s="91" t="s">
        <v>371</v>
      </c>
      <c r="C28" s="104">
        <f>K27</f>
        <v>0</v>
      </c>
      <c r="D28" s="97"/>
      <c r="E28" s="97"/>
      <c r="F28" s="97"/>
      <c r="G28" s="97"/>
      <c r="H28" s="97"/>
      <c r="I28" s="97"/>
      <c r="J28" s="97"/>
    </row>
    <row r="29" spans="1:11" ht="14.25" x14ac:dyDescent="0.2">
      <c r="A29" s="69"/>
      <c r="B29" s="105" t="s">
        <v>379</v>
      </c>
      <c r="C29" s="84" t="str">
        <f>C5</f>
        <v>Audited</v>
      </c>
      <c r="D29" s="84" t="str">
        <f t="shared" ref="D29:J29" si="9">D5</f>
        <v>Audited</v>
      </c>
      <c r="E29" s="84" t="str">
        <f t="shared" si="9"/>
        <v>Projected</v>
      </c>
      <c r="F29" s="84" t="str">
        <f t="shared" si="9"/>
        <v>Projected</v>
      </c>
      <c r="G29" s="84" t="e">
        <f t="shared" si="9"/>
        <v>#REF!</v>
      </c>
      <c r="H29" s="84" t="e">
        <f t="shared" si="9"/>
        <v>#REF!</v>
      </c>
      <c r="I29" s="84" t="e">
        <f t="shared" si="9"/>
        <v>#REF!</v>
      </c>
      <c r="J29" s="84" t="e">
        <f t="shared" si="9"/>
        <v>#REF!</v>
      </c>
    </row>
    <row r="30" spans="1:11" x14ac:dyDescent="0.2">
      <c r="A30" s="100" t="s">
        <v>337</v>
      </c>
      <c r="B30" s="89" t="s">
        <v>372</v>
      </c>
      <c r="C30" s="84">
        <f>C6</f>
        <v>2024</v>
      </c>
      <c r="D30" s="84">
        <f t="shared" ref="D30:J30" si="10">D6</f>
        <v>2025</v>
      </c>
      <c r="E30" s="84">
        <f t="shared" si="10"/>
        <v>2026</v>
      </c>
      <c r="F30" s="84" t="e">
        <f t="shared" si="10"/>
        <v>#REF!</v>
      </c>
      <c r="G30" s="84" t="e">
        <f t="shared" si="10"/>
        <v>#REF!</v>
      </c>
      <c r="H30" s="84" t="e">
        <f t="shared" si="10"/>
        <v>#REF!</v>
      </c>
      <c r="I30" s="84" t="e">
        <f t="shared" si="10"/>
        <v>#REF!</v>
      </c>
      <c r="J30" s="84" t="e">
        <f t="shared" si="10"/>
        <v>#REF!</v>
      </c>
    </row>
    <row r="31" spans="1:11" x14ac:dyDescent="0.2">
      <c r="A31" s="101">
        <v>0.95</v>
      </c>
      <c r="B31" s="66" t="s">
        <v>373</v>
      </c>
      <c r="C31" s="90">
        <f>'Data Input'!J18*$A$31</f>
        <v>447.56399999999996</v>
      </c>
      <c r="D31" s="90">
        <f>'Data Input'!K18*$A$31</f>
        <v>502.43599999999998</v>
      </c>
      <c r="E31" s="90">
        <f>'Data Input'!L18*$A$31</f>
        <v>573.74300000000005</v>
      </c>
      <c r="F31" s="90" t="e">
        <f>'Data Input'!#REF!*$A$31</f>
        <v>#REF!</v>
      </c>
      <c r="G31" s="90" t="e">
        <f>'Data Input'!#REF!*$A$31</f>
        <v>#REF!</v>
      </c>
      <c r="H31" s="90" t="e">
        <f>'Data Input'!#REF!*$A$31</f>
        <v>#REF!</v>
      </c>
      <c r="I31" s="90" t="e">
        <f>'Data Input'!#REF!*$A$31</f>
        <v>#REF!</v>
      </c>
      <c r="J31" s="90" t="e">
        <f>'Data Input'!#REF!*$A$31</f>
        <v>#REF!</v>
      </c>
    </row>
    <row r="32" spans="1:11" x14ac:dyDescent="0.2">
      <c r="A32" s="101">
        <v>1</v>
      </c>
      <c r="B32" s="66" t="s">
        <v>374</v>
      </c>
      <c r="C32" s="90">
        <f>'Data Input'!J21*$A$32</f>
        <v>384.37</v>
      </c>
      <c r="D32" s="90">
        <f>'Data Input'!K21*$A$32</f>
        <v>435.88</v>
      </c>
      <c r="E32" s="90">
        <f>'Data Input'!L21*$A$32</f>
        <v>491.28</v>
      </c>
      <c r="F32" s="90" t="e">
        <f>'Data Input'!#REF!*$A$32</f>
        <v>#REF!</v>
      </c>
      <c r="G32" s="90" t="e">
        <f>'Data Input'!#REF!*$A$32</f>
        <v>#REF!</v>
      </c>
      <c r="H32" s="90" t="e">
        <f>'Data Input'!#REF!*$A$32</f>
        <v>#REF!</v>
      </c>
      <c r="I32" s="90" t="e">
        <f>'Data Input'!#REF!*$A$32</f>
        <v>#REF!</v>
      </c>
      <c r="J32" s="90" t="e">
        <f>'Data Input'!#REF!*$A$32</f>
        <v>#REF!</v>
      </c>
      <c r="K32" s="102" t="e">
        <f>'Data Input'!#REF!*$A$32</f>
        <v>#REF!</v>
      </c>
    </row>
    <row r="33" spans="1:11" x14ac:dyDescent="0.2">
      <c r="A33" s="101">
        <v>1</v>
      </c>
      <c r="B33" s="66" t="s">
        <v>375</v>
      </c>
      <c r="C33" s="90">
        <f>C9*$A$33</f>
        <v>79.740000000000009</v>
      </c>
      <c r="D33" s="90">
        <f t="shared" ref="D33:J33" si="11">D9*$A$33</f>
        <v>83.339999999999918</v>
      </c>
      <c r="E33" s="90">
        <f t="shared" si="11"/>
        <v>100.56000000000006</v>
      </c>
      <c r="F33" s="90" t="e">
        <f t="shared" si="11"/>
        <v>#REF!</v>
      </c>
      <c r="G33" s="90" t="e">
        <f t="shared" si="11"/>
        <v>#REF!</v>
      </c>
      <c r="H33" s="90" t="e">
        <f t="shared" si="11"/>
        <v>#REF!</v>
      </c>
      <c r="I33" s="90" t="e">
        <f t="shared" si="11"/>
        <v>#REF!</v>
      </c>
      <c r="J33" s="90" t="e">
        <f t="shared" si="11"/>
        <v>#REF!</v>
      </c>
      <c r="K33" s="102">
        <f t="shared" ref="K33" si="12">K9*$A$33</f>
        <v>0</v>
      </c>
    </row>
    <row r="34" spans="1:11" x14ac:dyDescent="0.2">
      <c r="A34" s="182"/>
      <c r="B34" s="66" t="s">
        <v>359</v>
      </c>
      <c r="C34" s="90">
        <f>+C31-C32-C33</f>
        <v>-16.546000000000049</v>
      </c>
      <c r="D34" s="90">
        <f t="shared" ref="D34:J34" si="13">+D31-D32-D33</f>
        <v>-16.783999999999935</v>
      </c>
      <c r="E34" s="90">
        <f t="shared" si="13"/>
        <v>-18.09699999999998</v>
      </c>
      <c r="F34" s="90" t="e">
        <f t="shared" si="13"/>
        <v>#REF!</v>
      </c>
      <c r="G34" s="90" t="e">
        <f t="shared" si="13"/>
        <v>#REF!</v>
      </c>
      <c r="H34" s="90" t="e">
        <f t="shared" si="13"/>
        <v>#REF!</v>
      </c>
      <c r="I34" s="90" t="e">
        <f t="shared" si="13"/>
        <v>#REF!</v>
      </c>
      <c r="J34" s="90" t="e">
        <f t="shared" si="13"/>
        <v>#REF!</v>
      </c>
    </row>
    <row r="35" spans="1:11" x14ac:dyDescent="0.2">
      <c r="A35" s="182"/>
      <c r="B35" s="66" t="s">
        <v>122</v>
      </c>
      <c r="C35" s="90">
        <f>'Tax Calulator - Ref'!C46</f>
        <v>0</v>
      </c>
      <c r="D35" s="90">
        <f>'Tax Calulator - Ref'!D46</f>
        <v>0</v>
      </c>
      <c r="E35" s="90">
        <f>'Tax Calulator - Ref'!E46</f>
        <v>0</v>
      </c>
      <c r="F35" s="90" t="e">
        <f>'Tax Calulator - Ref'!F46</f>
        <v>#REF!</v>
      </c>
      <c r="G35" s="90" t="e">
        <f>'Tax Calulator - Ref'!G46</f>
        <v>#REF!</v>
      </c>
      <c r="H35" s="90" t="e">
        <f>'Tax Calulator - Ref'!H46</f>
        <v>#REF!</v>
      </c>
      <c r="I35" s="90" t="e">
        <f>'Tax Calulator - Ref'!I46</f>
        <v>#REF!</v>
      </c>
      <c r="J35" s="90" t="e">
        <f>'Tax Calulator - Ref'!J46</f>
        <v>#REF!</v>
      </c>
    </row>
    <row r="36" spans="1:11" x14ac:dyDescent="0.2">
      <c r="A36" s="182"/>
      <c r="B36" s="66" t="s">
        <v>360</v>
      </c>
      <c r="C36" s="90">
        <f>+C34-C35</f>
        <v>-16.546000000000049</v>
      </c>
      <c r="D36" s="90">
        <f t="shared" ref="D36:J36" si="14">+D34-D35</f>
        <v>-16.783999999999935</v>
      </c>
      <c r="E36" s="90">
        <f t="shared" si="14"/>
        <v>-18.09699999999998</v>
      </c>
      <c r="F36" s="90" t="e">
        <f t="shared" si="14"/>
        <v>#REF!</v>
      </c>
      <c r="G36" s="90" t="e">
        <f t="shared" si="14"/>
        <v>#REF!</v>
      </c>
      <c r="H36" s="90" t="e">
        <f t="shared" si="14"/>
        <v>#REF!</v>
      </c>
      <c r="I36" s="90" t="e">
        <f t="shared" si="14"/>
        <v>#REF!</v>
      </c>
      <c r="J36" s="90" t="e">
        <f t="shared" si="14"/>
        <v>#REF!</v>
      </c>
    </row>
    <row r="37" spans="1:11" x14ac:dyDescent="0.2">
      <c r="A37" s="182"/>
      <c r="B37" s="66" t="s">
        <v>15</v>
      </c>
      <c r="C37" s="90">
        <f>+C13</f>
        <v>3.47</v>
      </c>
      <c r="D37" s="90">
        <f t="shared" ref="D37:J37" si="15">+D13</f>
        <v>3.4</v>
      </c>
      <c r="E37" s="90">
        <f t="shared" si="15"/>
        <v>3.4</v>
      </c>
      <c r="F37" s="90" t="e">
        <f t="shared" si="15"/>
        <v>#REF!</v>
      </c>
      <c r="G37" s="90" t="e">
        <f t="shared" si="15"/>
        <v>#REF!</v>
      </c>
      <c r="H37" s="90" t="e">
        <f t="shared" si="15"/>
        <v>#REF!</v>
      </c>
      <c r="I37" s="90" t="e">
        <f t="shared" si="15"/>
        <v>#REF!</v>
      </c>
      <c r="J37" s="90" t="e">
        <f t="shared" si="15"/>
        <v>#REF!</v>
      </c>
    </row>
    <row r="38" spans="1:11" x14ac:dyDescent="0.2">
      <c r="A38" s="182"/>
      <c r="B38" s="184" t="s">
        <v>376</v>
      </c>
      <c r="C38" s="184"/>
      <c r="D38" s="184"/>
      <c r="E38" s="184"/>
      <c r="F38" s="184"/>
      <c r="G38" s="184"/>
      <c r="H38" s="184"/>
      <c r="I38" s="184"/>
      <c r="J38" s="184"/>
    </row>
    <row r="39" spans="1:11" x14ac:dyDescent="0.2">
      <c r="A39" s="182"/>
      <c r="B39" s="66" t="s">
        <v>362</v>
      </c>
      <c r="C39" s="90">
        <f>+C36</f>
        <v>-16.546000000000049</v>
      </c>
      <c r="D39" s="90">
        <f>+D36</f>
        <v>-16.783999999999935</v>
      </c>
      <c r="E39" s="90">
        <f t="shared" ref="E39:J39" si="16">+E36</f>
        <v>-18.09699999999998</v>
      </c>
      <c r="F39" s="90" t="e">
        <f t="shared" si="16"/>
        <v>#REF!</v>
      </c>
      <c r="G39" s="90" t="e">
        <f t="shared" si="16"/>
        <v>#REF!</v>
      </c>
      <c r="H39" s="90" t="e">
        <f t="shared" si="16"/>
        <v>#REF!</v>
      </c>
      <c r="I39" s="90" t="e">
        <f t="shared" si="16"/>
        <v>#REF!</v>
      </c>
      <c r="J39" s="90" t="e">
        <f t="shared" si="16"/>
        <v>#REF!</v>
      </c>
    </row>
    <row r="40" spans="1:11" x14ac:dyDescent="0.2">
      <c r="A40" s="182"/>
      <c r="B40" s="66" t="s">
        <v>15</v>
      </c>
      <c r="C40" s="90">
        <f>+C37</f>
        <v>3.47</v>
      </c>
      <c r="D40" s="90">
        <f t="shared" ref="D40:J40" si="17">+D37</f>
        <v>3.4</v>
      </c>
      <c r="E40" s="90">
        <f t="shared" si="17"/>
        <v>3.4</v>
      </c>
      <c r="F40" s="90" t="e">
        <f t="shared" si="17"/>
        <v>#REF!</v>
      </c>
      <c r="G40" s="90" t="e">
        <f t="shared" si="17"/>
        <v>#REF!</v>
      </c>
      <c r="H40" s="90" t="e">
        <f t="shared" si="17"/>
        <v>#REF!</v>
      </c>
      <c r="I40" s="90" t="e">
        <f t="shared" si="17"/>
        <v>#REF!</v>
      </c>
      <c r="J40" s="90" t="e">
        <f t="shared" si="17"/>
        <v>#REF!</v>
      </c>
    </row>
    <row r="41" spans="1:11" x14ac:dyDescent="0.2">
      <c r="A41" s="182"/>
      <c r="B41" s="66" t="s">
        <v>363</v>
      </c>
      <c r="C41" s="90">
        <f>+C17</f>
        <v>0.6</v>
      </c>
      <c r="D41" s="90">
        <f t="shared" ref="D41:J41" si="18">+D17</f>
        <v>0.21</v>
      </c>
      <c r="E41" s="90">
        <f t="shared" si="18"/>
        <v>0.12</v>
      </c>
      <c r="F41" s="90" t="e">
        <f t="shared" si="18"/>
        <v>#REF!</v>
      </c>
      <c r="G41" s="90" t="e">
        <f t="shared" si="18"/>
        <v>#REF!</v>
      </c>
      <c r="H41" s="90" t="e">
        <f t="shared" si="18"/>
        <v>#REF!</v>
      </c>
      <c r="I41" s="90" t="e">
        <f t="shared" si="18"/>
        <v>#REF!</v>
      </c>
      <c r="J41" s="90" t="e">
        <f t="shared" si="18"/>
        <v>#REF!</v>
      </c>
    </row>
    <row r="42" spans="1:11" x14ac:dyDescent="0.2">
      <c r="A42" s="182"/>
      <c r="B42" s="66" t="s">
        <v>64</v>
      </c>
      <c r="C42" s="90">
        <f>'Tax Calulator - Ref'!C47</f>
        <v>-1.1258415000000002</v>
      </c>
      <c r="D42" s="90">
        <f>'Tax Calulator - Ref'!D47</f>
        <v>-1.1031299999999999</v>
      </c>
      <c r="E42" s="90">
        <f>'Tax Calulator - Ref'!E47</f>
        <v>-1.1031299999999999</v>
      </c>
      <c r="F42" s="90" t="e">
        <f>'Tax Calulator - Ref'!F47</f>
        <v>#REF!</v>
      </c>
      <c r="G42" s="90" t="e">
        <f>'Tax Calulator - Ref'!G47</f>
        <v>#REF!</v>
      </c>
      <c r="H42" s="90" t="e">
        <f>'Tax Calulator - Ref'!H47</f>
        <v>#REF!</v>
      </c>
      <c r="I42" s="90" t="e">
        <f>'Tax Calulator - Ref'!I47</f>
        <v>#REF!</v>
      </c>
      <c r="J42" s="90" t="e">
        <f>'Tax Calulator - Ref'!J47</f>
        <v>#REF!</v>
      </c>
    </row>
    <row r="43" spans="1:11" x14ac:dyDescent="0.2">
      <c r="A43" s="182"/>
      <c r="B43" s="91" t="s">
        <v>364</v>
      </c>
      <c r="C43" s="92">
        <f>SUM(C39:C42)</f>
        <v>-13.601841500000049</v>
      </c>
      <c r="D43" s="92">
        <f t="shared" ref="D43:J43" si="19">SUM(D39:D42)</f>
        <v>-14.277129999999934</v>
      </c>
      <c r="E43" s="92">
        <f t="shared" si="19"/>
        <v>-15.680129999999981</v>
      </c>
      <c r="F43" s="92" t="e">
        <f t="shared" si="19"/>
        <v>#REF!</v>
      </c>
      <c r="G43" s="92" t="e">
        <f t="shared" si="19"/>
        <v>#REF!</v>
      </c>
      <c r="H43" s="92" t="e">
        <f t="shared" si="19"/>
        <v>#REF!</v>
      </c>
      <c r="I43" s="92" t="e">
        <f t="shared" si="19"/>
        <v>#REF!</v>
      </c>
      <c r="J43" s="92" t="e">
        <f t="shared" si="19"/>
        <v>#REF!</v>
      </c>
    </row>
    <row r="44" spans="1:11" x14ac:dyDescent="0.2">
      <c r="A44" s="182"/>
      <c r="B44" s="66" t="s">
        <v>363</v>
      </c>
      <c r="C44" s="90">
        <f>+C41</f>
        <v>0.6</v>
      </c>
      <c r="D44" s="90">
        <f t="shared" ref="D44:J44" si="20">+D41</f>
        <v>0.21</v>
      </c>
      <c r="E44" s="90">
        <f t="shared" si="20"/>
        <v>0.12</v>
      </c>
      <c r="F44" s="90" t="e">
        <f t="shared" si="20"/>
        <v>#REF!</v>
      </c>
      <c r="G44" s="90" t="e">
        <f t="shared" si="20"/>
        <v>#REF!</v>
      </c>
      <c r="H44" s="90" t="e">
        <f t="shared" si="20"/>
        <v>#REF!</v>
      </c>
      <c r="I44" s="90" t="e">
        <f t="shared" si="20"/>
        <v>#REF!</v>
      </c>
      <c r="J44" s="90" t="e">
        <f t="shared" si="20"/>
        <v>#REF!</v>
      </c>
    </row>
    <row r="45" spans="1:11" x14ac:dyDescent="0.2">
      <c r="A45" s="182"/>
      <c r="B45" s="66" t="s">
        <v>365</v>
      </c>
      <c r="C45" s="90">
        <f>+C21</f>
        <v>2.42</v>
      </c>
      <c r="D45" s="90">
        <f>+D21</f>
        <v>2.39</v>
      </c>
      <c r="E45" s="90">
        <f t="shared" ref="E45:J45" si="21">+E21</f>
        <v>1.02</v>
      </c>
      <c r="F45" s="90">
        <f t="shared" si="21"/>
        <v>1.02</v>
      </c>
      <c r="G45" s="90" t="e">
        <f t="shared" si="21"/>
        <v>#REF!</v>
      </c>
      <c r="H45" s="90" t="e">
        <f t="shared" si="21"/>
        <v>#REF!</v>
      </c>
      <c r="I45" s="90" t="e">
        <f t="shared" si="21"/>
        <v>#REF!</v>
      </c>
      <c r="J45" s="90" t="e">
        <f t="shared" si="21"/>
        <v>#REF!</v>
      </c>
    </row>
    <row r="46" spans="1:11" x14ac:dyDescent="0.2">
      <c r="A46" s="182"/>
      <c r="B46" s="91" t="s">
        <v>366</v>
      </c>
      <c r="C46" s="92">
        <f t="shared" ref="C46:J46" si="22">SUM(C44:C45)</f>
        <v>3.02</v>
      </c>
      <c r="D46" s="92">
        <f t="shared" si="22"/>
        <v>2.6</v>
      </c>
      <c r="E46" s="92">
        <f t="shared" si="22"/>
        <v>1.1400000000000001</v>
      </c>
      <c r="F46" s="92" t="e">
        <f t="shared" si="22"/>
        <v>#REF!</v>
      </c>
      <c r="G46" s="92" t="e">
        <f t="shared" si="22"/>
        <v>#REF!</v>
      </c>
      <c r="H46" s="92" t="e">
        <f t="shared" si="22"/>
        <v>#REF!</v>
      </c>
      <c r="I46" s="92" t="e">
        <f t="shared" si="22"/>
        <v>#REF!</v>
      </c>
      <c r="J46" s="92" t="e">
        <f t="shared" si="22"/>
        <v>#REF!</v>
      </c>
    </row>
    <row r="47" spans="1:11" x14ac:dyDescent="0.2">
      <c r="A47" s="182"/>
      <c r="B47" s="91" t="s">
        <v>315</v>
      </c>
      <c r="C47" s="92">
        <f t="shared" ref="C47:J47" si="23">+C43/C46</f>
        <v>-4.5039210264900822</v>
      </c>
      <c r="D47" s="92">
        <f t="shared" si="23"/>
        <v>-5.4912038461538204</v>
      </c>
      <c r="E47" s="92">
        <f t="shared" si="23"/>
        <v>-13.754499999999981</v>
      </c>
      <c r="F47" s="92" t="e">
        <f t="shared" si="23"/>
        <v>#REF!</v>
      </c>
      <c r="G47" s="92" t="e">
        <f t="shared" si="23"/>
        <v>#REF!</v>
      </c>
      <c r="H47" s="92" t="e">
        <f t="shared" si="23"/>
        <v>#REF!</v>
      </c>
      <c r="I47" s="92" t="e">
        <f t="shared" si="23"/>
        <v>#REF!</v>
      </c>
      <c r="J47" s="92" t="e">
        <f t="shared" si="23"/>
        <v>#REF!</v>
      </c>
    </row>
    <row r="48" spans="1:11" ht="14.25" x14ac:dyDescent="0.2">
      <c r="A48" s="183"/>
      <c r="B48" s="91" t="s">
        <v>367</v>
      </c>
      <c r="C48" s="88" t="e">
        <f>SUM(C43:J43)/SUM(C46:J46)</f>
        <v>#REF!</v>
      </c>
      <c r="D48" s="93"/>
      <c r="E48" s="93"/>
      <c r="F48" s="93"/>
      <c r="G48" s="93"/>
      <c r="H48" s="93"/>
      <c r="I48" s="93"/>
      <c r="J48" s="93"/>
    </row>
    <row r="49" spans="2:11" x14ac:dyDescent="0.2">
      <c r="B49" s="184" t="s">
        <v>377</v>
      </c>
      <c r="C49" s="184"/>
      <c r="D49" s="184"/>
      <c r="E49" s="184"/>
      <c r="F49" s="184"/>
      <c r="G49" s="184"/>
      <c r="H49" s="184"/>
      <c r="I49" s="184"/>
      <c r="J49" s="184"/>
    </row>
    <row r="50" spans="2:11" x14ac:dyDescent="0.2">
      <c r="B50" s="95" t="s">
        <v>369</v>
      </c>
      <c r="C50" s="99" t="e">
        <f>'DSCR &amp; IRR'!B21</f>
        <v>#VALUE!</v>
      </c>
      <c r="D50" s="99">
        <f>'DSCR &amp; IRR'!C21</f>
        <v>0</v>
      </c>
      <c r="E50" s="99">
        <f>'DSCR &amp; IRR'!D21</f>
        <v>0</v>
      </c>
      <c r="F50" s="99">
        <f>'DSCR &amp; IRR'!E21</f>
        <v>0</v>
      </c>
      <c r="G50" s="99">
        <f>'DSCR &amp; IRR'!F21</f>
        <v>0</v>
      </c>
      <c r="H50" s="99">
        <f>'DSCR &amp; IRR'!G21</f>
        <v>0</v>
      </c>
      <c r="I50" s="99">
        <f>'DSCR &amp; IRR'!H21</f>
        <v>0</v>
      </c>
      <c r="J50" s="99">
        <f>'DSCR &amp; IRR'!I21</f>
        <v>0</v>
      </c>
    </row>
    <row r="51" spans="2:11" x14ac:dyDescent="0.2">
      <c r="B51" s="95" t="s">
        <v>370</v>
      </c>
      <c r="C51" s="96">
        <f>+C43-C41</f>
        <v>-14.201841500000048</v>
      </c>
      <c r="D51" s="98">
        <f t="shared" ref="D51:J51" si="24">+D43-D41</f>
        <v>-14.487129999999935</v>
      </c>
      <c r="E51" s="96">
        <f t="shared" si="24"/>
        <v>-15.80012999999998</v>
      </c>
      <c r="F51" s="96" t="e">
        <f t="shared" si="24"/>
        <v>#REF!</v>
      </c>
      <c r="G51" s="96" t="e">
        <f t="shared" si="24"/>
        <v>#REF!</v>
      </c>
      <c r="H51" s="96" t="e">
        <f t="shared" si="24"/>
        <v>#REF!</v>
      </c>
      <c r="I51" s="96" t="e">
        <f t="shared" si="24"/>
        <v>#REF!</v>
      </c>
      <c r="J51" s="96" t="e">
        <f t="shared" si="24"/>
        <v>#REF!</v>
      </c>
      <c r="K51" s="57" t="e">
        <f>'DSCR &amp; IRR'!M23</f>
        <v>#REF!</v>
      </c>
    </row>
    <row r="52" spans="2:11" ht="14.25" x14ac:dyDescent="0.2">
      <c r="B52" s="91" t="s">
        <v>378</v>
      </c>
      <c r="C52" s="104" t="e">
        <f>K51</f>
        <v>#REF!</v>
      </c>
      <c r="D52" s="97"/>
      <c r="E52" s="97"/>
      <c r="F52" s="97"/>
      <c r="G52" s="97"/>
      <c r="H52" s="97"/>
      <c r="I52" s="97"/>
      <c r="J52" s="97"/>
    </row>
  </sheetData>
  <mergeCells count="10">
    <mergeCell ref="B1:J1"/>
    <mergeCell ref="B2:J2"/>
    <mergeCell ref="B3:J3"/>
    <mergeCell ref="B4:J4"/>
    <mergeCell ref="A10:A24"/>
    <mergeCell ref="A34:A48"/>
    <mergeCell ref="B14:J14"/>
    <mergeCell ref="B25:J25"/>
    <mergeCell ref="B49:J49"/>
    <mergeCell ref="B38:J38"/>
  </mergeCells>
  <pageMargins left="0.7" right="0.7" top="0.75" bottom="0.75" header="0.3" footer="0.3"/>
  <pageSetup scale="72" orientation="landscape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49"/>
  <sheetViews>
    <sheetView view="pageBreakPreview" topLeftCell="A19" zoomScaleSheetLayoutView="100" workbookViewId="0">
      <selection activeCell="C32" sqref="C32"/>
    </sheetView>
  </sheetViews>
  <sheetFormatPr defaultRowHeight="15" x14ac:dyDescent="0.25"/>
  <cols>
    <col min="1" max="1" width="24" customWidth="1"/>
    <col min="2" max="2" width="5.7109375" bestFit="1" customWidth="1"/>
    <col min="3" max="3" width="10.140625" bestFit="1" customWidth="1"/>
    <col min="4" max="10" width="10" bestFit="1" customWidth="1"/>
  </cols>
  <sheetData>
    <row r="1" spans="1:10" x14ac:dyDescent="0.25">
      <c r="A1" s="176" t="str">
        <f>+'Data Input'!B5</f>
        <v>Punjab National Bank</v>
      </c>
      <c r="B1" s="176"/>
      <c r="C1" s="176"/>
      <c r="D1" s="176"/>
      <c r="E1" s="176"/>
      <c r="F1" s="176"/>
      <c r="G1" s="176"/>
      <c r="H1" s="176"/>
      <c r="I1" s="176"/>
      <c r="J1" s="176"/>
    </row>
    <row r="2" spans="1:10" x14ac:dyDescent="0.25">
      <c r="A2" s="176" t="str">
        <f>+'Data Input'!B6</f>
        <v>MCC Durgapur</v>
      </c>
      <c r="B2" s="176"/>
      <c r="C2" s="176"/>
      <c r="D2" s="176"/>
      <c r="E2" s="176"/>
      <c r="F2" s="176"/>
      <c r="G2" s="176"/>
      <c r="H2" s="176"/>
      <c r="I2" s="176"/>
      <c r="J2" s="176"/>
    </row>
    <row r="3" spans="1:10" x14ac:dyDescent="0.25">
      <c r="A3" s="176" t="str">
        <f>+'Data Input'!B7</f>
        <v>Durgapur</v>
      </c>
      <c r="B3" s="176"/>
      <c r="C3" s="176"/>
      <c r="D3" s="176"/>
      <c r="E3" s="176"/>
      <c r="F3" s="176"/>
      <c r="G3" s="176"/>
      <c r="H3" s="176"/>
      <c r="I3" s="176"/>
      <c r="J3" s="176"/>
    </row>
    <row r="4" spans="1:10" x14ac:dyDescent="0.25">
      <c r="A4" s="176" t="str">
        <f>+'Data Input'!B4</f>
        <v>H R Ispat Pvt Ltd</v>
      </c>
      <c r="B4" s="176"/>
      <c r="C4" s="176"/>
      <c r="D4" s="176"/>
      <c r="E4" s="176"/>
      <c r="F4" s="176"/>
      <c r="G4" s="176"/>
      <c r="H4" s="176"/>
      <c r="I4" s="176"/>
      <c r="J4" s="176"/>
    </row>
    <row r="5" spans="1:10" x14ac:dyDescent="0.25">
      <c r="A5" s="185" t="s">
        <v>339</v>
      </c>
      <c r="B5" s="186"/>
      <c r="C5" s="38" t="str">
        <f>IF('Data Input'!I10="", "", 'Data Input'!I10)</f>
        <v>Audited</v>
      </c>
      <c r="D5" s="38" t="str">
        <f>IF('Data Input'!J10="", "", 'Data Input'!J10)</f>
        <v>Audited</v>
      </c>
      <c r="E5" s="38" t="str">
        <f>IF('Data Input'!K10="", "", 'Data Input'!K10)</f>
        <v>Projected</v>
      </c>
      <c r="F5" s="38" t="str">
        <f>IF('Data Input'!L10="", "", 'Data Input'!L10)</f>
        <v>Projected</v>
      </c>
      <c r="G5" s="38" t="e">
        <f>IF('Data Input'!#REF!="", "", 'Data Input'!#REF!)</f>
        <v>#REF!</v>
      </c>
      <c r="H5" s="38" t="e">
        <f>IF('Data Input'!#REF!="", "", 'Data Input'!#REF!)</f>
        <v>#REF!</v>
      </c>
      <c r="I5" s="38" t="e">
        <f>IF('Data Input'!#REF!="", "", 'Data Input'!#REF!)</f>
        <v>#REF!</v>
      </c>
      <c r="J5" s="38" t="e">
        <f>IF('Data Input'!#REF!="", "", 'Data Input'!#REF!)</f>
        <v>#REF!</v>
      </c>
    </row>
    <row r="6" spans="1:10" x14ac:dyDescent="0.25">
      <c r="A6" s="185" t="s">
        <v>324</v>
      </c>
      <c r="B6" s="186"/>
      <c r="C6" s="38">
        <f>IF('Data Input'!J11="", "", 'Data Input'!J11)</f>
        <v>2024</v>
      </c>
      <c r="D6" s="38">
        <f>IF('Data Input'!K11="", "", 'Data Input'!K11)</f>
        <v>2025</v>
      </c>
      <c r="E6" s="38">
        <f>IF('Data Input'!L11="", "", 'Data Input'!L11)</f>
        <v>2026</v>
      </c>
      <c r="F6" s="38" t="e">
        <f>IF('Data Input'!#REF!="", "", 'Data Input'!#REF!)</f>
        <v>#REF!</v>
      </c>
      <c r="G6" s="38" t="e">
        <f>IF('Data Input'!#REF!="", "", 'Data Input'!#REF!)</f>
        <v>#REF!</v>
      </c>
      <c r="H6" s="38" t="e">
        <f>IF('Data Input'!#REF!="", "", 'Data Input'!#REF!)</f>
        <v>#REF!</v>
      </c>
      <c r="I6" s="38" t="e">
        <f>IF('Data Input'!#REF!="", "", 'Data Input'!#REF!)</f>
        <v>#REF!</v>
      </c>
      <c r="J6" s="38" t="e">
        <f>IF('Data Input'!#REF!="", "", 'Data Input'!#REF!)</f>
        <v>#REF!</v>
      </c>
    </row>
    <row r="7" spans="1:10" x14ac:dyDescent="0.25">
      <c r="A7" s="187" t="s">
        <v>325</v>
      </c>
      <c r="B7" s="187"/>
      <c r="C7" s="60">
        <f>+'Data Input'!J54</f>
        <v>7.0100000000000122</v>
      </c>
      <c r="D7" s="60">
        <f>+'Data Input'!K54</f>
        <v>9.6600000000001032</v>
      </c>
      <c r="E7" s="60">
        <f>+'Data Input'!L54</f>
        <v>12.100000000000032</v>
      </c>
      <c r="F7" s="60" t="e">
        <f>+'Data Input'!#REF!</f>
        <v>#REF!</v>
      </c>
      <c r="G7" s="60" t="e">
        <f>+'Data Input'!#REF!</f>
        <v>#REF!</v>
      </c>
      <c r="H7" s="60" t="e">
        <f>+'Data Input'!#REF!</f>
        <v>#REF!</v>
      </c>
      <c r="I7" s="60" t="e">
        <f>+'Data Input'!#REF!</f>
        <v>#REF!</v>
      </c>
      <c r="J7" s="60" t="e">
        <f>+'Data Input'!#REF!</f>
        <v>#REF!</v>
      </c>
    </row>
    <row r="8" spans="1:10" x14ac:dyDescent="0.25">
      <c r="A8" s="187" t="s">
        <v>326</v>
      </c>
      <c r="B8" s="187"/>
      <c r="C8" s="60">
        <f>+'Data Input'!J29</f>
        <v>3.47</v>
      </c>
      <c r="D8" s="60">
        <f>+'Data Input'!K29</f>
        <v>3.4</v>
      </c>
      <c r="E8" s="60">
        <f>+'Data Input'!L29</f>
        <v>3.4</v>
      </c>
      <c r="F8" s="60" t="e">
        <f>+'Data Input'!#REF!</f>
        <v>#REF!</v>
      </c>
      <c r="G8" s="60" t="e">
        <f>+'Data Input'!#REF!</f>
        <v>#REF!</v>
      </c>
      <c r="H8" s="60" t="e">
        <f>+'Data Input'!#REF!</f>
        <v>#REF!</v>
      </c>
      <c r="I8" s="60" t="e">
        <f>+'Data Input'!#REF!</f>
        <v>#REF!</v>
      </c>
      <c r="J8" s="60" t="e">
        <f>+'Data Input'!#REF!</f>
        <v>#REF!</v>
      </c>
    </row>
    <row r="9" spans="1:10" x14ac:dyDescent="0.25">
      <c r="A9" s="187" t="s">
        <v>327</v>
      </c>
      <c r="B9" s="187"/>
      <c r="C9" s="60">
        <f>'Data Input'!J144</f>
        <v>0</v>
      </c>
      <c r="D9" s="60">
        <f>'Data Input'!K144</f>
        <v>0</v>
      </c>
      <c r="E9" s="60">
        <f>'Data Input'!L144</f>
        <v>0</v>
      </c>
      <c r="F9" s="60" t="e">
        <f>'Data Input'!#REF!</f>
        <v>#REF!</v>
      </c>
      <c r="G9" s="60" t="e">
        <f>'Data Input'!#REF!</f>
        <v>#REF!</v>
      </c>
      <c r="H9" s="60" t="e">
        <f>'Data Input'!#REF!</f>
        <v>#REF!</v>
      </c>
      <c r="I9" s="60" t="e">
        <f>'Data Input'!#REF!</f>
        <v>#REF!</v>
      </c>
      <c r="J9" s="60" t="e">
        <f>'Data Input'!#REF!</f>
        <v>#REF!</v>
      </c>
    </row>
    <row r="10" spans="1:10" x14ac:dyDescent="0.25">
      <c r="A10" s="187" t="s">
        <v>328</v>
      </c>
      <c r="B10" s="187"/>
      <c r="C10" s="61">
        <f>C7+C8-C9</f>
        <v>10.480000000000013</v>
      </c>
      <c r="D10" s="61">
        <f t="shared" ref="D10:J10" si="0">D7+D8-D9</f>
        <v>13.060000000000104</v>
      </c>
      <c r="E10" s="61">
        <f t="shared" si="0"/>
        <v>15.500000000000032</v>
      </c>
      <c r="F10" s="61" t="e">
        <f t="shared" si="0"/>
        <v>#REF!</v>
      </c>
      <c r="G10" s="61" t="e">
        <f t="shared" si="0"/>
        <v>#REF!</v>
      </c>
      <c r="H10" s="61" t="e">
        <f t="shared" si="0"/>
        <v>#REF!</v>
      </c>
      <c r="I10" s="61" t="e">
        <f t="shared" si="0"/>
        <v>#REF!</v>
      </c>
      <c r="J10" s="61" t="e">
        <f t="shared" si="0"/>
        <v>#REF!</v>
      </c>
    </row>
    <row r="11" spans="1:10" x14ac:dyDescent="0.25">
      <c r="A11" s="65" t="s">
        <v>329</v>
      </c>
      <c r="B11" s="62"/>
      <c r="C11" s="61">
        <f>IF((C10+B11)&lt;0,(C10+B11),0)</f>
        <v>0</v>
      </c>
      <c r="D11" s="61">
        <f t="shared" ref="D11:J11" si="1">IF((D10+C11)&lt;0,(D10+C11),0)</f>
        <v>0</v>
      </c>
      <c r="E11" s="61">
        <f t="shared" si="1"/>
        <v>0</v>
      </c>
      <c r="F11" s="61" t="e">
        <f t="shared" si="1"/>
        <v>#REF!</v>
      </c>
      <c r="G11" s="61" t="e">
        <f t="shared" si="1"/>
        <v>#REF!</v>
      </c>
      <c r="H11" s="61" t="e">
        <f t="shared" si="1"/>
        <v>#REF!</v>
      </c>
      <c r="I11" s="61" t="e">
        <f t="shared" si="1"/>
        <v>#REF!</v>
      </c>
      <c r="J11" s="61" t="e">
        <f t="shared" si="1"/>
        <v>#REF!</v>
      </c>
    </row>
    <row r="12" spans="1:10" x14ac:dyDescent="0.25">
      <c r="A12" s="189" t="s">
        <v>330</v>
      </c>
      <c r="B12" s="189"/>
      <c r="C12" s="61">
        <f>IF((C10+B12)&lt;0,0,(C10+B12))</f>
        <v>10.480000000000013</v>
      </c>
      <c r="D12" s="61">
        <f t="shared" ref="D12:J12" si="2">IF((D10+C12)&lt;0,0,(D10+C12))</f>
        <v>23.540000000000116</v>
      </c>
      <c r="E12" s="61">
        <f t="shared" si="2"/>
        <v>39.040000000000148</v>
      </c>
      <c r="F12" s="61" t="e">
        <f t="shared" si="2"/>
        <v>#REF!</v>
      </c>
      <c r="G12" s="61" t="e">
        <f t="shared" si="2"/>
        <v>#REF!</v>
      </c>
      <c r="H12" s="61" t="e">
        <f t="shared" si="2"/>
        <v>#REF!</v>
      </c>
      <c r="I12" s="61" t="e">
        <f t="shared" si="2"/>
        <v>#REF!</v>
      </c>
      <c r="J12" s="61" t="e">
        <f t="shared" si="2"/>
        <v>#REF!</v>
      </c>
    </row>
    <row r="13" spans="1:10" x14ac:dyDescent="0.25">
      <c r="A13" s="187" t="s">
        <v>331</v>
      </c>
      <c r="B13" s="187"/>
      <c r="C13" s="61">
        <f t="shared" ref="C13" si="3">C10</f>
        <v>10.480000000000013</v>
      </c>
      <c r="D13" s="61">
        <f t="shared" ref="D13:J13" si="4">D10</f>
        <v>13.060000000000104</v>
      </c>
      <c r="E13" s="61">
        <f t="shared" si="4"/>
        <v>15.500000000000032</v>
      </c>
      <c r="F13" s="61" t="e">
        <f t="shared" si="4"/>
        <v>#REF!</v>
      </c>
      <c r="G13" s="61" t="e">
        <f t="shared" si="4"/>
        <v>#REF!</v>
      </c>
      <c r="H13" s="61" t="e">
        <f t="shared" si="4"/>
        <v>#REF!</v>
      </c>
      <c r="I13" s="61" t="e">
        <f t="shared" si="4"/>
        <v>#REF!</v>
      </c>
      <c r="J13" s="61" t="e">
        <f t="shared" si="4"/>
        <v>#REF!</v>
      </c>
    </row>
    <row r="14" spans="1:10" x14ac:dyDescent="0.25">
      <c r="A14" s="187" t="s">
        <v>332</v>
      </c>
      <c r="B14" s="187"/>
      <c r="C14" s="61">
        <f t="shared" ref="C14" si="5">IF(C13&lt;0,0,C13*C18)</f>
        <v>2.0968122000000027</v>
      </c>
      <c r="D14" s="61">
        <f t="shared" ref="D14:J14" si="6">IF(D13&lt;0,0,D13*D18)</f>
        <v>2.6130121500000212</v>
      </c>
      <c r="E14" s="61">
        <f t="shared" si="6"/>
        <v>3.1012012500000066</v>
      </c>
      <c r="F14" s="61" t="e">
        <f t="shared" si="6"/>
        <v>#REF!</v>
      </c>
      <c r="G14" s="61" t="e">
        <f t="shared" si="6"/>
        <v>#REF!</v>
      </c>
      <c r="H14" s="61" t="e">
        <f t="shared" si="6"/>
        <v>#REF!</v>
      </c>
      <c r="I14" s="61" t="e">
        <f t="shared" si="6"/>
        <v>#REF!</v>
      </c>
      <c r="J14" s="61" t="e">
        <f t="shared" si="6"/>
        <v>#REF!</v>
      </c>
    </row>
    <row r="15" spans="1:10" x14ac:dyDescent="0.25">
      <c r="A15" s="187" t="s">
        <v>333</v>
      </c>
      <c r="B15" s="187"/>
      <c r="C15" s="61">
        <f t="shared" ref="C15" si="7">IF(C12&lt;0,0,C12*C19)</f>
        <v>3.4002360000000045</v>
      </c>
      <c r="D15" s="61">
        <f t="shared" ref="D15:J15" si="8">IF(D12&lt;0,0,D12*D19)</f>
        <v>7.6375530000000378</v>
      </c>
      <c r="E15" s="61">
        <f t="shared" si="8"/>
        <v>12.666528000000049</v>
      </c>
      <c r="F15" s="61" t="e">
        <f t="shared" si="8"/>
        <v>#REF!</v>
      </c>
      <c r="G15" s="61" t="e">
        <f t="shared" si="8"/>
        <v>#REF!</v>
      </c>
      <c r="H15" s="61" t="e">
        <f t="shared" si="8"/>
        <v>#REF!</v>
      </c>
      <c r="I15" s="61" t="e">
        <f t="shared" si="8"/>
        <v>#REF!</v>
      </c>
      <c r="J15" s="61" t="e">
        <f t="shared" si="8"/>
        <v>#REF!</v>
      </c>
    </row>
    <row r="16" spans="1:10" x14ac:dyDescent="0.25">
      <c r="A16" s="188" t="s">
        <v>338</v>
      </c>
      <c r="B16" s="188"/>
      <c r="C16" s="63">
        <f t="shared" ref="C16" si="9">MAX(C14:C15)</f>
        <v>3.4002360000000045</v>
      </c>
      <c r="D16" s="63">
        <f t="shared" ref="D16:J16" si="10">MAX(D14:D15)</f>
        <v>7.6375530000000378</v>
      </c>
      <c r="E16" s="63">
        <f t="shared" si="10"/>
        <v>12.666528000000049</v>
      </c>
      <c r="F16" s="63" t="e">
        <f t="shared" si="10"/>
        <v>#REF!</v>
      </c>
      <c r="G16" s="63" t="e">
        <f t="shared" si="10"/>
        <v>#REF!</v>
      </c>
      <c r="H16" s="63" t="e">
        <f t="shared" si="10"/>
        <v>#REF!</v>
      </c>
      <c r="I16" s="63" t="e">
        <f t="shared" si="10"/>
        <v>#REF!</v>
      </c>
      <c r="J16" s="63" t="e">
        <f t="shared" si="10"/>
        <v>#REF!</v>
      </c>
    </row>
    <row r="17" spans="1:10" x14ac:dyDescent="0.25">
      <c r="A17" s="187" t="s">
        <v>64</v>
      </c>
      <c r="B17" s="187"/>
      <c r="C17" s="61">
        <f>(C9-C8)*C19</f>
        <v>-1.1258415000000002</v>
      </c>
      <c r="D17" s="61">
        <f t="shared" ref="D17:J17" si="11">(D9-D8)*D19</f>
        <v>-1.1031299999999999</v>
      </c>
      <c r="E17" s="61">
        <f t="shared" si="11"/>
        <v>-1.1031299999999999</v>
      </c>
      <c r="F17" s="61" t="e">
        <f t="shared" si="11"/>
        <v>#REF!</v>
      </c>
      <c r="G17" s="61" t="e">
        <f t="shared" si="11"/>
        <v>#REF!</v>
      </c>
      <c r="H17" s="61" t="e">
        <f t="shared" si="11"/>
        <v>#REF!</v>
      </c>
      <c r="I17" s="61" t="e">
        <f t="shared" si="11"/>
        <v>#REF!</v>
      </c>
      <c r="J17" s="61" t="e">
        <f t="shared" si="11"/>
        <v>#REF!</v>
      </c>
    </row>
    <row r="18" spans="1:10" x14ac:dyDescent="0.25">
      <c r="A18" s="187" t="s">
        <v>334</v>
      </c>
      <c r="B18" s="187"/>
      <c r="C18" s="64">
        <f t="shared" ref="C18:J18" si="12">18.5%*105%*103%</f>
        <v>0.20007750000000002</v>
      </c>
      <c r="D18" s="64">
        <f t="shared" si="12"/>
        <v>0.20007750000000002</v>
      </c>
      <c r="E18" s="64">
        <f t="shared" si="12"/>
        <v>0.20007750000000002</v>
      </c>
      <c r="F18" s="64">
        <f t="shared" si="12"/>
        <v>0.20007750000000002</v>
      </c>
      <c r="G18" s="64">
        <f t="shared" si="12"/>
        <v>0.20007750000000002</v>
      </c>
      <c r="H18" s="64">
        <f t="shared" si="12"/>
        <v>0.20007750000000002</v>
      </c>
      <c r="I18" s="64">
        <f t="shared" si="12"/>
        <v>0.20007750000000002</v>
      </c>
      <c r="J18" s="64">
        <f t="shared" si="12"/>
        <v>0.20007750000000002</v>
      </c>
    </row>
    <row r="19" spans="1:10" x14ac:dyDescent="0.25">
      <c r="A19" s="187" t="s">
        <v>335</v>
      </c>
      <c r="B19" s="187"/>
      <c r="C19" s="64">
        <f t="shared" ref="C19:J19" si="13">30%*105%*103%</f>
        <v>0.32445000000000002</v>
      </c>
      <c r="D19" s="64">
        <f t="shared" si="13"/>
        <v>0.32445000000000002</v>
      </c>
      <c r="E19" s="64">
        <f t="shared" si="13"/>
        <v>0.32445000000000002</v>
      </c>
      <c r="F19" s="64">
        <f t="shared" si="13"/>
        <v>0.32445000000000002</v>
      </c>
      <c r="G19" s="64">
        <f t="shared" si="13"/>
        <v>0.32445000000000002</v>
      </c>
      <c r="H19" s="64">
        <f t="shared" si="13"/>
        <v>0.32445000000000002</v>
      </c>
      <c r="I19" s="64">
        <f t="shared" si="13"/>
        <v>0.32445000000000002</v>
      </c>
      <c r="J19" s="64">
        <f t="shared" si="13"/>
        <v>0.32445000000000002</v>
      </c>
    </row>
    <row r="20" spans="1:10" x14ac:dyDescent="0.25">
      <c r="A20" s="185" t="s">
        <v>339</v>
      </c>
      <c r="B20" s="186"/>
      <c r="C20" s="38" t="str">
        <f t="shared" ref="C20:J20" si="14">+C5</f>
        <v>Audited</v>
      </c>
      <c r="D20" s="38" t="str">
        <f t="shared" si="14"/>
        <v>Audited</v>
      </c>
      <c r="E20" s="38" t="str">
        <f t="shared" si="14"/>
        <v>Projected</v>
      </c>
      <c r="F20" s="38" t="str">
        <f t="shared" si="14"/>
        <v>Projected</v>
      </c>
      <c r="G20" s="38" t="e">
        <f t="shared" si="14"/>
        <v>#REF!</v>
      </c>
      <c r="H20" s="38" t="e">
        <f t="shared" si="14"/>
        <v>#REF!</v>
      </c>
      <c r="I20" s="38" t="e">
        <f t="shared" si="14"/>
        <v>#REF!</v>
      </c>
      <c r="J20" s="38" t="e">
        <f t="shared" si="14"/>
        <v>#REF!</v>
      </c>
    </row>
    <row r="21" spans="1:10" x14ac:dyDescent="0.25">
      <c r="A21" s="185" t="s">
        <v>341</v>
      </c>
      <c r="B21" s="186"/>
      <c r="C21" s="38">
        <f t="shared" ref="C21:J21" si="15">+C6</f>
        <v>2024</v>
      </c>
      <c r="D21" s="38">
        <f t="shared" si="15"/>
        <v>2025</v>
      </c>
      <c r="E21" s="38">
        <f t="shared" si="15"/>
        <v>2026</v>
      </c>
      <c r="F21" s="38" t="e">
        <f t="shared" si="15"/>
        <v>#REF!</v>
      </c>
      <c r="G21" s="38" t="e">
        <f t="shared" si="15"/>
        <v>#REF!</v>
      </c>
      <c r="H21" s="38" t="e">
        <f t="shared" si="15"/>
        <v>#REF!</v>
      </c>
      <c r="I21" s="38" t="e">
        <f t="shared" si="15"/>
        <v>#REF!</v>
      </c>
      <c r="J21" s="38" t="e">
        <f t="shared" si="15"/>
        <v>#REF!</v>
      </c>
    </row>
    <row r="22" spans="1:10" x14ac:dyDescent="0.25">
      <c r="A22" s="187" t="s">
        <v>325</v>
      </c>
      <c r="B22" s="187"/>
      <c r="C22" s="60">
        <f>Sensitivity!C10</f>
        <v>-12.208500000000015</v>
      </c>
      <c r="D22" s="60">
        <f>Sensitivity!D10</f>
        <v>-12.133999999999958</v>
      </c>
      <c r="E22" s="60">
        <f>Sensitivity!E10</f>
        <v>-12.463999999999942</v>
      </c>
      <c r="F22" s="60" t="e">
        <f>Sensitivity!F10</f>
        <v>#REF!</v>
      </c>
      <c r="G22" s="60" t="e">
        <f>Sensitivity!G10</f>
        <v>#REF!</v>
      </c>
      <c r="H22" s="60" t="e">
        <f>Sensitivity!H10</f>
        <v>#REF!</v>
      </c>
      <c r="I22" s="60" t="e">
        <f>Sensitivity!I10</f>
        <v>#REF!</v>
      </c>
      <c r="J22" s="60" t="e">
        <f>Sensitivity!J10</f>
        <v>#REF!</v>
      </c>
    </row>
    <row r="23" spans="1:10" x14ac:dyDescent="0.25">
      <c r="A23" s="187" t="s">
        <v>326</v>
      </c>
      <c r="B23" s="187"/>
      <c r="C23" s="60">
        <f t="shared" ref="C23:J24" si="16">+C8</f>
        <v>3.47</v>
      </c>
      <c r="D23" s="60">
        <f t="shared" si="16"/>
        <v>3.4</v>
      </c>
      <c r="E23" s="60">
        <f t="shared" si="16"/>
        <v>3.4</v>
      </c>
      <c r="F23" s="60" t="e">
        <f t="shared" si="16"/>
        <v>#REF!</v>
      </c>
      <c r="G23" s="60" t="e">
        <f t="shared" si="16"/>
        <v>#REF!</v>
      </c>
      <c r="H23" s="60" t="e">
        <f t="shared" si="16"/>
        <v>#REF!</v>
      </c>
      <c r="I23" s="60" t="e">
        <f t="shared" si="16"/>
        <v>#REF!</v>
      </c>
      <c r="J23" s="60" t="e">
        <f t="shared" si="16"/>
        <v>#REF!</v>
      </c>
    </row>
    <row r="24" spans="1:10" x14ac:dyDescent="0.25">
      <c r="A24" s="187" t="s">
        <v>327</v>
      </c>
      <c r="B24" s="187"/>
      <c r="C24" s="60">
        <f t="shared" si="16"/>
        <v>0</v>
      </c>
      <c r="D24" s="60">
        <f t="shared" si="16"/>
        <v>0</v>
      </c>
      <c r="E24" s="60">
        <f t="shared" si="16"/>
        <v>0</v>
      </c>
      <c r="F24" s="60" t="e">
        <f t="shared" si="16"/>
        <v>#REF!</v>
      </c>
      <c r="G24" s="60" t="e">
        <f t="shared" si="16"/>
        <v>#REF!</v>
      </c>
      <c r="H24" s="60" t="e">
        <f t="shared" si="16"/>
        <v>#REF!</v>
      </c>
      <c r="I24" s="60" t="e">
        <f t="shared" si="16"/>
        <v>#REF!</v>
      </c>
      <c r="J24" s="60" t="e">
        <f t="shared" si="16"/>
        <v>#REF!</v>
      </c>
    </row>
    <row r="25" spans="1:10" x14ac:dyDescent="0.25">
      <c r="A25" s="187" t="s">
        <v>328</v>
      </c>
      <c r="B25" s="187"/>
      <c r="C25" s="61">
        <f t="shared" ref="C25:J25" si="17">C22+C23-C24</f>
        <v>-8.7385000000000144</v>
      </c>
      <c r="D25" s="61">
        <f t="shared" si="17"/>
        <v>-8.7339999999999574</v>
      </c>
      <c r="E25" s="61">
        <f t="shared" si="17"/>
        <v>-9.0639999999999414</v>
      </c>
      <c r="F25" s="61" t="e">
        <f t="shared" si="17"/>
        <v>#REF!</v>
      </c>
      <c r="G25" s="61" t="e">
        <f t="shared" si="17"/>
        <v>#REF!</v>
      </c>
      <c r="H25" s="61" t="e">
        <f t="shared" si="17"/>
        <v>#REF!</v>
      </c>
      <c r="I25" s="61" t="e">
        <f t="shared" si="17"/>
        <v>#REF!</v>
      </c>
      <c r="J25" s="61" t="e">
        <f t="shared" si="17"/>
        <v>#REF!</v>
      </c>
    </row>
    <row r="26" spans="1:10" x14ac:dyDescent="0.25">
      <c r="A26" s="65" t="s">
        <v>329</v>
      </c>
      <c r="B26" s="62"/>
      <c r="C26" s="61">
        <f>IF((C25+B26)&lt;0,(C25+B26),0)</f>
        <v>-8.7385000000000144</v>
      </c>
      <c r="D26" s="61">
        <f t="shared" ref="D26" si="18">IF((D25+C26)&lt;0,(D25+C26),0)</f>
        <v>-17.472499999999972</v>
      </c>
      <c r="E26" s="61">
        <f t="shared" ref="E26" si="19">IF((E25+D26)&lt;0,(E25+D26),0)</f>
        <v>-26.536499999999911</v>
      </c>
      <c r="F26" s="61" t="e">
        <f>IF((F25+E26)&lt;0,(F25+E26),0)</f>
        <v>#REF!</v>
      </c>
      <c r="G26" s="61" t="e">
        <f>IF((G25+F26)&lt;0,(G25+F26),0)</f>
        <v>#REF!</v>
      </c>
      <c r="H26" s="61" t="e">
        <f t="shared" ref="H26" si="20">IF((H25+G26)&lt;0,(H25+G26),0)</f>
        <v>#REF!</v>
      </c>
      <c r="I26" s="61" t="e">
        <f t="shared" ref="I26" si="21">IF((I25+H26)&lt;0,(I25+H26),0)</f>
        <v>#REF!</v>
      </c>
      <c r="J26" s="61" t="e">
        <f t="shared" ref="J26" si="22">IF((J25+I26)&lt;0,(J25+I26),0)</f>
        <v>#REF!</v>
      </c>
    </row>
    <row r="27" spans="1:10" x14ac:dyDescent="0.25">
      <c r="A27" s="189" t="s">
        <v>330</v>
      </c>
      <c r="B27" s="189"/>
      <c r="C27" s="61">
        <f>IF((C25+B27)&lt;0,0,(C25+B27))</f>
        <v>0</v>
      </c>
      <c r="D27" s="61">
        <f t="shared" ref="D27" si="23">IF((D25+C26)&lt;0,0,(D25+C26))</f>
        <v>0</v>
      </c>
      <c r="E27" s="61">
        <f t="shared" ref="E27" si="24">IF((E25+D26)&lt;0,0,(E25+D26))</f>
        <v>0</v>
      </c>
      <c r="F27" s="61" t="e">
        <f>IF((F25+E26)&lt;0,0,(F25+E26))</f>
        <v>#REF!</v>
      </c>
      <c r="G27" s="61" t="e">
        <f>IF((G25+F26)&lt;0,0,(G25+F26))</f>
        <v>#REF!</v>
      </c>
      <c r="H27" s="61" t="e">
        <f t="shared" ref="H27" si="25">IF((H25+G26)&lt;0,0,(H25+G26))</f>
        <v>#REF!</v>
      </c>
      <c r="I27" s="61" t="e">
        <f t="shared" ref="I27" si="26">IF((I25+H26)&lt;0,0,(I25+H26))</f>
        <v>#REF!</v>
      </c>
      <c r="J27" s="61" t="e">
        <f t="shared" ref="J27" si="27">IF((J25+I26)&lt;0,0,(J25+I26))</f>
        <v>#REF!</v>
      </c>
    </row>
    <row r="28" spans="1:10" x14ac:dyDescent="0.25">
      <c r="A28" s="187" t="s">
        <v>331</v>
      </c>
      <c r="B28" s="187"/>
      <c r="C28" s="61">
        <f t="shared" ref="C28:D28" si="28">C25</f>
        <v>-8.7385000000000144</v>
      </c>
      <c r="D28" s="61">
        <f t="shared" si="28"/>
        <v>-8.7339999999999574</v>
      </c>
      <c r="E28" s="61">
        <f>E25</f>
        <v>-9.0639999999999414</v>
      </c>
      <c r="F28" s="61" t="e">
        <f>F25</f>
        <v>#REF!</v>
      </c>
      <c r="G28" s="61" t="e">
        <f t="shared" ref="G28:J28" si="29">G25</f>
        <v>#REF!</v>
      </c>
      <c r="H28" s="61" t="e">
        <f t="shared" si="29"/>
        <v>#REF!</v>
      </c>
      <c r="I28" s="61" t="e">
        <f t="shared" si="29"/>
        <v>#REF!</v>
      </c>
      <c r="J28" s="61" t="e">
        <f t="shared" si="29"/>
        <v>#REF!</v>
      </c>
    </row>
    <row r="29" spans="1:10" x14ac:dyDescent="0.25">
      <c r="A29" s="187" t="s">
        <v>332</v>
      </c>
      <c r="B29" s="187"/>
      <c r="C29" s="61">
        <f t="shared" ref="C29:J29" si="30">IF(C28&lt;0,0,C28*C33)</f>
        <v>0</v>
      </c>
      <c r="D29" s="61">
        <f t="shared" si="30"/>
        <v>0</v>
      </c>
      <c r="E29" s="61">
        <f t="shared" si="30"/>
        <v>0</v>
      </c>
      <c r="F29" s="61" t="e">
        <f t="shared" si="30"/>
        <v>#REF!</v>
      </c>
      <c r="G29" s="61" t="e">
        <f t="shared" si="30"/>
        <v>#REF!</v>
      </c>
      <c r="H29" s="61" t="e">
        <f t="shared" si="30"/>
        <v>#REF!</v>
      </c>
      <c r="I29" s="61" t="e">
        <f t="shared" si="30"/>
        <v>#REF!</v>
      </c>
      <c r="J29" s="61" t="e">
        <f t="shared" si="30"/>
        <v>#REF!</v>
      </c>
    </row>
    <row r="30" spans="1:10" x14ac:dyDescent="0.25">
      <c r="A30" s="187" t="s">
        <v>333</v>
      </c>
      <c r="B30" s="187"/>
      <c r="C30" s="61">
        <f t="shared" ref="C30:J30" si="31">IF(C27&lt;0,0,C27*C34)</f>
        <v>0</v>
      </c>
      <c r="D30" s="61">
        <f t="shared" si="31"/>
        <v>0</v>
      </c>
      <c r="E30" s="61">
        <f t="shared" si="31"/>
        <v>0</v>
      </c>
      <c r="F30" s="61" t="e">
        <f t="shared" si="31"/>
        <v>#REF!</v>
      </c>
      <c r="G30" s="61" t="e">
        <f t="shared" si="31"/>
        <v>#REF!</v>
      </c>
      <c r="H30" s="61" t="e">
        <f t="shared" si="31"/>
        <v>#REF!</v>
      </c>
      <c r="I30" s="61" t="e">
        <f t="shared" si="31"/>
        <v>#REF!</v>
      </c>
      <c r="J30" s="61" t="e">
        <f t="shared" si="31"/>
        <v>#REF!</v>
      </c>
    </row>
    <row r="31" spans="1:10" x14ac:dyDescent="0.25">
      <c r="A31" s="188" t="s">
        <v>338</v>
      </c>
      <c r="B31" s="188"/>
      <c r="C31" s="63">
        <f t="shared" ref="C31:E31" si="32">MAX(C29:C30)</f>
        <v>0</v>
      </c>
      <c r="D31" s="63">
        <f t="shared" si="32"/>
        <v>0</v>
      </c>
      <c r="E31" s="63">
        <f t="shared" si="32"/>
        <v>0</v>
      </c>
      <c r="F31" s="63" t="e">
        <f>MAX(F29:F30)</f>
        <v>#REF!</v>
      </c>
      <c r="G31" s="63" t="e">
        <f t="shared" ref="G31:J31" si="33">MAX(G29:G30)</f>
        <v>#REF!</v>
      </c>
      <c r="H31" s="63" t="e">
        <f t="shared" si="33"/>
        <v>#REF!</v>
      </c>
      <c r="I31" s="63" t="e">
        <f t="shared" si="33"/>
        <v>#REF!</v>
      </c>
      <c r="J31" s="63" t="e">
        <f t="shared" si="33"/>
        <v>#REF!</v>
      </c>
    </row>
    <row r="32" spans="1:10" x14ac:dyDescent="0.25">
      <c r="A32" s="187" t="s">
        <v>64</v>
      </c>
      <c r="B32" s="187"/>
      <c r="C32" s="61">
        <f>(C24-C23)*C34</f>
        <v>-1.1258415000000002</v>
      </c>
      <c r="D32" s="61">
        <f t="shared" ref="D32:J32" si="34">(D24-D23)*D34</f>
        <v>-1.1031299999999999</v>
      </c>
      <c r="E32" s="61">
        <f t="shared" si="34"/>
        <v>-1.1031299999999999</v>
      </c>
      <c r="F32" s="61" t="e">
        <f t="shared" si="34"/>
        <v>#REF!</v>
      </c>
      <c r="G32" s="61" t="e">
        <f t="shared" si="34"/>
        <v>#REF!</v>
      </c>
      <c r="H32" s="61" t="e">
        <f t="shared" si="34"/>
        <v>#REF!</v>
      </c>
      <c r="I32" s="61" t="e">
        <f t="shared" si="34"/>
        <v>#REF!</v>
      </c>
      <c r="J32" s="61" t="e">
        <f t="shared" si="34"/>
        <v>#REF!</v>
      </c>
    </row>
    <row r="33" spans="1:10" x14ac:dyDescent="0.25">
      <c r="A33" s="187" t="s">
        <v>334</v>
      </c>
      <c r="B33" s="187"/>
      <c r="C33" s="64">
        <f t="shared" ref="C33:E33" si="35">18.5%*105%*103%</f>
        <v>0.20007750000000002</v>
      </c>
      <c r="D33" s="64">
        <f t="shared" si="35"/>
        <v>0.20007750000000002</v>
      </c>
      <c r="E33" s="64">
        <f t="shared" si="35"/>
        <v>0.20007750000000002</v>
      </c>
      <c r="F33" s="64">
        <f>18.5%*105%*103%</f>
        <v>0.20007750000000002</v>
      </c>
      <c r="G33" s="64">
        <f>18.5%*105%*103%</f>
        <v>0.20007750000000002</v>
      </c>
      <c r="H33" s="64">
        <f t="shared" ref="H33:J33" si="36">18.5%*105%*103%</f>
        <v>0.20007750000000002</v>
      </c>
      <c r="I33" s="64">
        <f t="shared" si="36"/>
        <v>0.20007750000000002</v>
      </c>
      <c r="J33" s="64">
        <f t="shared" si="36"/>
        <v>0.20007750000000002</v>
      </c>
    </row>
    <row r="34" spans="1:10" x14ac:dyDescent="0.25">
      <c r="A34" s="187" t="s">
        <v>335</v>
      </c>
      <c r="B34" s="187"/>
      <c r="C34" s="64">
        <f t="shared" ref="C34:E34" si="37">30%*105%*103%</f>
        <v>0.32445000000000002</v>
      </c>
      <c r="D34" s="64">
        <f t="shared" si="37"/>
        <v>0.32445000000000002</v>
      </c>
      <c r="E34" s="64">
        <f t="shared" si="37"/>
        <v>0.32445000000000002</v>
      </c>
      <c r="F34" s="64">
        <f>30%*105%*103%</f>
        <v>0.32445000000000002</v>
      </c>
      <c r="G34" s="64">
        <f>30%*105%*103%</f>
        <v>0.32445000000000002</v>
      </c>
      <c r="H34" s="64">
        <f t="shared" ref="H34:J34" si="38">30%*105%*103%</f>
        <v>0.32445000000000002</v>
      </c>
      <c r="I34" s="64">
        <f t="shared" si="38"/>
        <v>0.32445000000000002</v>
      </c>
      <c r="J34" s="64">
        <f t="shared" si="38"/>
        <v>0.32445000000000002</v>
      </c>
    </row>
    <row r="35" spans="1:10" x14ac:dyDescent="0.25">
      <c r="A35" s="185" t="s">
        <v>339</v>
      </c>
      <c r="B35" s="186"/>
      <c r="C35" s="38" t="str">
        <f t="shared" ref="C35:J35" si="39">+C20</f>
        <v>Audited</v>
      </c>
      <c r="D35" s="38" t="str">
        <f t="shared" si="39"/>
        <v>Audited</v>
      </c>
      <c r="E35" s="38" t="str">
        <f t="shared" si="39"/>
        <v>Projected</v>
      </c>
      <c r="F35" s="38" t="str">
        <f t="shared" si="39"/>
        <v>Projected</v>
      </c>
      <c r="G35" s="38" t="e">
        <f t="shared" si="39"/>
        <v>#REF!</v>
      </c>
      <c r="H35" s="38" t="e">
        <f t="shared" si="39"/>
        <v>#REF!</v>
      </c>
      <c r="I35" s="38" t="e">
        <f t="shared" si="39"/>
        <v>#REF!</v>
      </c>
      <c r="J35" s="38" t="e">
        <f t="shared" si="39"/>
        <v>#REF!</v>
      </c>
    </row>
    <row r="36" spans="1:10" x14ac:dyDescent="0.25">
      <c r="A36" s="185" t="s">
        <v>342</v>
      </c>
      <c r="B36" s="186"/>
      <c r="C36" s="38">
        <f t="shared" ref="C36:J36" si="40">+C21</f>
        <v>2024</v>
      </c>
      <c r="D36" s="38">
        <f t="shared" si="40"/>
        <v>2025</v>
      </c>
      <c r="E36" s="38">
        <f t="shared" si="40"/>
        <v>2026</v>
      </c>
      <c r="F36" s="38" t="e">
        <f t="shared" si="40"/>
        <v>#REF!</v>
      </c>
      <c r="G36" s="38" t="e">
        <f t="shared" si="40"/>
        <v>#REF!</v>
      </c>
      <c r="H36" s="38" t="e">
        <f t="shared" si="40"/>
        <v>#REF!</v>
      </c>
      <c r="I36" s="38" t="e">
        <f t="shared" si="40"/>
        <v>#REF!</v>
      </c>
      <c r="J36" s="38" t="e">
        <f t="shared" si="40"/>
        <v>#REF!</v>
      </c>
    </row>
    <row r="37" spans="1:10" x14ac:dyDescent="0.25">
      <c r="A37" s="187" t="s">
        <v>325</v>
      </c>
      <c r="B37" s="187"/>
      <c r="C37" s="60">
        <f>Sensitivity!C34</f>
        <v>-16.546000000000049</v>
      </c>
      <c r="D37" s="60">
        <f>Sensitivity!D34</f>
        <v>-16.783999999999935</v>
      </c>
      <c r="E37" s="60">
        <f>Sensitivity!E34</f>
        <v>-18.09699999999998</v>
      </c>
      <c r="F37" s="60" t="e">
        <f>Sensitivity!F34</f>
        <v>#REF!</v>
      </c>
      <c r="G37" s="60" t="e">
        <f>Sensitivity!G34</f>
        <v>#REF!</v>
      </c>
      <c r="H37" s="60" t="e">
        <f>Sensitivity!H34</f>
        <v>#REF!</v>
      </c>
      <c r="I37" s="60" t="e">
        <f>Sensitivity!I34</f>
        <v>#REF!</v>
      </c>
      <c r="J37" s="60" t="e">
        <f>Sensitivity!J34</f>
        <v>#REF!</v>
      </c>
    </row>
    <row r="38" spans="1:10" x14ac:dyDescent="0.25">
      <c r="A38" s="187" t="s">
        <v>326</v>
      </c>
      <c r="B38" s="187"/>
      <c r="C38" s="60">
        <f t="shared" ref="C38:J38" si="41">+C23</f>
        <v>3.47</v>
      </c>
      <c r="D38" s="60">
        <f t="shared" si="41"/>
        <v>3.4</v>
      </c>
      <c r="E38" s="60">
        <f t="shared" si="41"/>
        <v>3.4</v>
      </c>
      <c r="F38" s="60" t="e">
        <f t="shared" si="41"/>
        <v>#REF!</v>
      </c>
      <c r="G38" s="60" t="e">
        <f t="shared" si="41"/>
        <v>#REF!</v>
      </c>
      <c r="H38" s="60" t="e">
        <f t="shared" si="41"/>
        <v>#REF!</v>
      </c>
      <c r="I38" s="60" t="e">
        <f t="shared" si="41"/>
        <v>#REF!</v>
      </c>
      <c r="J38" s="60" t="e">
        <f t="shared" si="41"/>
        <v>#REF!</v>
      </c>
    </row>
    <row r="39" spans="1:10" x14ac:dyDescent="0.25">
      <c r="A39" s="187" t="s">
        <v>327</v>
      </c>
      <c r="B39" s="187"/>
      <c r="C39" s="60">
        <f t="shared" ref="C39:J39" si="42">+C24</f>
        <v>0</v>
      </c>
      <c r="D39" s="60">
        <f t="shared" si="42"/>
        <v>0</v>
      </c>
      <c r="E39" s="60">
        <f t="shared" si="42"/>
        <v>0</v>
      </c>
      <c r="F39" s="60" t="e">
        <f t="shared" si="42"/>
        <v>#REF!</v>
      </c>
      <c r="G39" s="60" t="e">
        <f t="shared" si="42"/>
        <v>#REF!</v>
      </c>
      <c r="H39" s="60" t="e">
        <f t="shared" si="42"/>
        <v>#REF!</v>
      </c>
      <c r="I39" s="60" t="e">
        <f t="shared" si="42"/>
        <v>#REF!</v>
      </c>
      <c r="J39" s="60" t="e">
        <f t="shared" si="42"/>
        <v>#REF!</v>
      </c>
    </row>
    <row r="40" spans="1:10" x14ac:dyDescent="0.25">
      <c r="A40" s="187" t="s">
        <v>328</v>
      </c>
      <c r="B40" s="187"/>
      <c r="C40" s="61">
        <f t="shared" ref="C40:J40" si="43">C37+C38-C39</f>
        <v>-13.076000000000048</v>
      </c>
      <c r="D40" s="61">
        <f t="shared" si="43"/>
        <v>-13.383999999999935</v>
      </c>
      <c r="E40" s="61">
        <f t="shared" si="43"/>
        <v>-14.69699999999998</v>
      </c>
      <c r="F40" s="61" t="e">
        <f t="shared" si="43"/>
        <v>#REF!</v>
      </c>
      <c r="G40" s="61" t="e">
        <f t="shared" si="43"/>
        <v>#REF!</v>
      </c>
      <c r="H40" s="61" t="e">
        <f t="shared" si="43"/>
        <v>#REF!</v>
      </c>
      <c r="I40" s="61" t="e">
        <f t="shared" si="43"/>
        <v>#REF!</v>
      </c>
      <c r="J40" s="61" t="e">
        <f t="shared" si="43"/>
        <v>#REF!</v>
      </c>
    </row>
    <row r="41" spans="1:10" x14ac:dyDescent="0.25">
      <c r="A41" s="65" t="s">
        <v>329</v>
      </c>
      <c r="B41" s="62"/>
      <c r="C41" s="61">
        <f>IF((C40+B41)&lt;0,(C40+B41),0)</f>
        <v>-13.076000000000048</v>
      </c>
      <c r="D41" s="61">
        <f t="shared" ref="D41" si="44">IF((D40+C41)&lt;0,(D40+C41),0)</f>
        <v>-26.459999999999983</v>
      </c>
      <c r="E41" s="61">
        <f t="shared" ref="E41" si="45">IF((E40+D41)&lt;0,(E40+D41),0)</f>
        <v>-41.156999999999961</v>
      </c>
      <c r="F41" s="61" t="e">
        <f>IF((F40+E41)&lt;0,(F40+E41),0)</f>
        <v>#REF!</v>
      </c>
      <c r="G41" s="61" t="e">
        <f>IF((G40+F41)&lt;0,(G40+F41),0)</f>
        <v>#REF!</v>
      </c>
      <c r="H41" s="61" t="e">
        <f t="shared" ref="H41" si="46">IF((H40+G41)&lt;0,(H40+G41),0)</f>
        <v>#REF!</v>
      </c>
      <c r="I41" s="61" t="e">
        <f t="shared" ref="I41" si="47">IF((I40+H41)&lt;0,(I40+H41),0)</f>
        <v>#REF!</v>
      </c>
      <c r="J41" s="61" t="e">
        <f t="shared" ref="J41" si="48">IF((J40+I41)&lt;0,(J40+I41),0)</f>
        <v>#REF!</v>
      </c>
    </row>
    <row r="42" spans="1:10" x14ac:dyDescent="0.25">
      <c r="A42" s="189" t="s">
        <v>330</v>
      </c>
      <c r="B42" s="189"/>
      <c r="C42" s="61">
        <f>IF((C40+B42)&lt;0,0,(C40+B42))</f>
        <v>0</v>
      </c>
      <c r="D42" s="61">
        <f t="shared" ref="D42" si="49">IF((D40+C41)&lt;0,0,(D40+C41))</f>
        <v>0</v>
      </c>
      <c r="E42" s="61">
        <f t="shared" ref="E42" si="50">IF((E40+D41)&lt;0,0,(E40+D41))</f>
        <v>0</v>
      </c>
      <c r="F42" s="61" t="e">
        <f>IF((F40+E41)&lt;0,0,(F40+E41))</f>
        <v>#REF!</v>
      </c>
      <c r="G42" s="61" t="e">
        <f>IF((G40+F41)&lt;0,0,(G40+F41))</f>
        <v>#REF!</v>
      </c>
      <c r="H42" s="61" t="e">
        <f t="shared" ref="H42" si="51">IF((H40+G41)&lt;0,0,(H40+G41))</f>
        <v>#REF!</v>
      </c>
      <c r="I42" s="61" t="e">
        <f t="shared" ref="I42" si="52">IF((I40+H41)&lt;0,0,(I40+H41))</f>
        <v>#REF!</v>
      </c>
      <c r="J42" s="61" t="e">
        <f t="shared" ref="J42" si="53">IF((J40+I41)&lt;0,0,(J40+I41))</f>
        <v>#REF!</v>
      </c>
    </row>
    <row r="43" spans="1:10" x14ac:dyDescent="0.25">
      <c r="A43" s="187" t="s">
        <v>331</v>
      </c>
      <c r="B43" s="187"/>
      <c r="C43" s="61">
        <f t="shared" ref="C43:D43" si="54">C40</f>
        <v>-13.076000000000048</v>
      </c>
      <c r="D43" s="61">
        <f t="shared" si="54"/>
        <v>-13.383999999999935</v>
      </c>
      <c r="E43" s="61">
        <f>E40</f>
        <v>-14.69699999999998</v>
      </c>
      <c r="F43" s="61" t="e">
        <f>F40</f>
        <v>#REF!</v>
      </c>
      <c r="G43" s="61" t="e">
        <f t="shared" ref="G43:J43" si="55">G40</f>
        <v>#REF!</v>
      </c>
      <c r="H43" s="61" t="e">
        <f t="shared" si="55"/>
        <v>#REF!</v>
      </c>
      <c r="I43" s="61" t="e">
        <f t="shared" si="55"/>
        <v>#REF!</v>
      </c>
      <c r="J43" s="61" t="e">
        <f t="shared" si="55"/>
        <v>#REF!</v>
      </c>
    </row>
    <row r="44" spans="1:10" x14ac:dyDescent="0.25">
      <c r="A44" s="187" t="s">
        <v>332</v>
      </c>
      <c r="B44" s="187"/>
      <c r="C44" s="61">
        <f t="shared" ref="C44:J44" si="56">IF(C43&lt;0,0,C43*C48)</f>
        <v>0</v>
      </c>
      <c r="D44" s="61">
        <f t="shared" si="56"/>
        <v>0</v>
      </c>
      <c r="E44" s="61">
        <f t="shared" si="56"/>
        <v>0</v>
      </c>
      <c r="F44" s="61" t="e">
        <f t="shared" si="56"/>
        <v>#REF!</v>
      </c>
      <c r="G44" s="61" t="e">
        <f t="shared" si="56"/>
        <v>#REF!</v>
      </c>
      <c r="H44" s="61" t="e">
        <f t="shared" si="56"/>
        <v>#REF!</v>
      </c>
      <c r="I44" s="61" t="e">
        <f t="shared" si="56"/>
        <v>#REF!</v>
      </c>
      <c r="J44" s="61" t="e">
        <f t="shared" si="56"/>
        <v>#REF!</v>
      </c>
    </row>
    <row r="45" spans="1:10" x14ac:dyDescent="0.25">
      <c r="A45" s="187" t="s">
        <v>333</v>
      </c>
      <c r="B45" s="187"/>
      <c r="C45" s="61">
        <f t="shared" ref="C45:J45" si="57">IF(C42&lt;0,0,C42*C49)</f>
        <v>0</v>
      </c>
      <c r="D45" s="61">
        <f t="shared" si="57"/>
        <v>0</v>
      </c>
      <c r="E45" s="61">
        <f t="shared" si="57"/>
        <v>0</v>
      </c>
      <c r="F45" s="61" t="e">
        <f t="shared" si="57"/>
        <v>#REF!</v>
      </c>
      <c r="G45" s="61" t="e">
        <f t="shared" si="57"/>
        <v>#REF!</v>
      </c>
      <c r="H45" s="61" t="e">
        <f t="shared" si="57"/>
        <v>#REF!</v>
      </c>
      <c r="I45" s="61" t="e">
        <f t="shared" si="57"/>
        <v>#REF!</v>
      </c>
      <c r="J45" s="61" t="e">
        <f t="shared" si="57"/>
        <v>#REF!</v>
      </c>
    </row>
    <row r="46" spans="1:10" x14ac:dyDescent="0.25">
      <c r="A46" s="188" t="s">
        <v>338</v>
      </c>
      <c r="B46" s="188"/>
      <c r="C46" s="63">
        <f t="shared" ref="C46:E46" si="58">MAX(C44:C45)</f>
        <v>0</v>
      </c>
      <c r="D46" s="63">
        <f t="shared" si="58"/>
        <v>0</v>
      </c>
      <c r="E46" s="63">
        <f t="shared" si="58"/>
        <v>0</v>
      </c>
      <c r="F46" s="63" t="e">
        <f>MAX(F44:F45)</f>
        <v>#REF!</v>
      </c>
      <c r="G46" s="63" t="e">
        <f t="shared" ref="G46:J46" si="59">MAX(G44:G45)</f>
        <v>#REF!</v>
      </c>
      <c r="H46" s="63" t="e">
        <f t="shared" si="59"/>
        <v>#REF!</v>
      </c>
      <c r="I46" s="63" t="e">
        <f t="shared" si="59"/>
        <v>#REF!</v>
      </c>
      <c r="J46" s="63" t="e">
        <f t="shared" si="59"/>
        <v>#REF!</v>
      </c>
    </row>
    <row r="47" spans="1:10" x14ac:dyDescent="0.25">
      <c r="A47" s="187" t="s">
        <v>64</v>
      </c>
      <c r="B47" s="187"/>
      <c r="C47" s="61">
        <f>(C39-C38)*C49</f>
        <v>-1.1258415000000002</v>
      </c>
      <c r="D47" s="61">
        <f t="shared" ref="D47:J47" si="60">(D39-D38)*D49</f>
        <v>-1.1031299999999999</v>
      </c>
      <c r="E47" s="61">
        <f t="shared" si="60"/>
        <v>-1.1031299999999999</v>
      </c>
      <c r="F47" s="61" t="e">
        <f t="shared" si="60"/>
        <v>#REF!</v>
      </c>
      <c r="G47" s="61" t="e">
        <f t="shared" si="60"/>
        <v>#REF!</v>
      </c>
      <c r="H47" s="61" t="e">
        <f t="shared" si="60"/>
        <v>#REF!</v>
      </c>
      <c r="I47" s="61" t="e">
        <f t="shared" si="60"/>
        <v>#REF!</v>
      </c>
      <c r="J47" s="61" t="e">
        <f t="shared" si="60"/>
        <v>#REF!</v>
      </c>
    </row>
    <row r="48" spans="1:10" x14ac:dyDescent="0.25">
      <c r="A48" s="187" t="s">
        <v>334</v>
      </c>
      <c r="B48" s="187"/>
      <c r="C48" s="64">
        <f t="shared" ref="C48:E48" si="61">18.5%*105%*103%</f>
        <v>0.20007750000000002</v>
      </c>
      <c r="D48" s="64">
        <f t="shared" si="61"/>
        <v>0.20007750000000002</v>
      </c>
      <c r="E48" s="64">
        <f t="shared" si="61"/>
        <v>0.20007750000000002</v>
      </c>
      <c r="F48" s="64">
        <f>18.5%*105%*103%</f>
        <v>0.20007750000000002</v>
      </c>
      <c r="G48" s="64">
        <f>18.5%*105%*103%</f>
        <v>0.20007750000000002</v>
      </c>
      <c r="H48" s="64">
        <f t="shared" ref="H48:J48" si="62">18.5%*105%*103%</f>
        <v>0.20007750000000002</v>
      </c>
      <c r="I48" s="64">
        <f t="shared" si="62"/>
        <v>0.20007750000000002</v>
      </c>
      <c r="J48" s="64">
        <f t="shared" si="62"/>
        <v>0.20007750000000002</v>
      </c>
    </row>
    <row r="49" spans="1:10" x14ac:dyDescent="0.25">
      <c r="A49" s="187" t="s">
        <v>335</v>
      </c>
      <c r="B49" s="187"/>
      <c r="C49" s="64">
        <f t="shared" ref="C49:E49" si="63">30%*105%*103%</f>
        <v>0.32445000000000002</v>
      </c>
      <c r="D49" s="64">
        <f t="shared" si="63"/>
        <v>0.32445000000000002</v>
      </c>
      <c r="E49" s="64">
        <f t="shared" si="63"/>
        <v>0.32445000000000002</v>
      </c>
      <c r="F49" s="64">
        <f>30%*105%*103%</f>
        <v>0.32445000000000002</v>
      </c>
      <c r="G49" s="64">
        <f>30%*105%*103%</f>
        <v>0.32445000000000002</v>
      </c>
      <c r="H49" s="64">
        <f t="shared" ref="H49:J49" si="64">30%*105%*103%</f>
        <v>0.32445000000000002</v>
      </c>
      <c r="I49" s="64">
        <f t="shared" si="64"/>
        <v>0.32445000000000002</v>
      </c>
      <c r="J49" s="64">
        <f t="shared" si="64"/>
        <v>0.32445000000000002</v>
      </c>
    </row>
  </sheetData>
  <mergeCells count="46">
    <mergeCell ref="A46:B46"/>
    <mergeCell ref="A47:B47"/>
    <mergeCell ref="A48:B48"/>
    <mergeCell ref="A49:B49"/>
    <mergeCell ref="A39:B39"/>
    <mergeCell ref="A40:B40"/>
    <mergeCell ref="A42:B42"/>
    <mergeCell ref="A43:B43"/>
    <mergeCell ref="A44:B44"/>
    <mergeCell ref="A45:B45"/>
    <mergeCell ref="A24:B24"/>
    <mergeCell ref="A38:B38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25:B25"/>
    <mergeCell ref="A1:J1"/>
    <mergeCell ref="A2:J2"/>
    <mergeCell ref="A3:J3"/>
    <mergeCell ref="A4:J4"/>
    <mergeCell ref="A13:B13"/>
    <mergeCell ref="A7:B7"/>
    <mergeCell ref="A8:B8"/>
    <mergeCell ref="A9:B9"/>
    <mergeCell ref="A10:B10"/>
    <mergeCell ref="A12:B12"/>
    <mergeCell ref="A5:B5"/>
    <mergeCell ref="A6:B6"/>
    <mergeCell ref="A20:B20"/>
    <mergeCell ref="A21:B21"/>
    <mergeCell ref="A22:B22"/>
    <mergeCell ref="A23:B23"/>
    <mergeCell ref="A14:B14"/>
    <mergeCell ref="A15:B15"/>
    <mergeCell ref="A17:B17"/>
    <mergeCell ref="A18:B18"/>
    <mergeCell ref="A19:B19"/>
    <mergeCell ref="A16:B16"/>
  </mergeCells>
  <pageMargins left="0.7" right="0.7" top="0.75" bottom="0.75" header="0.3" footer="0.3"/>
  <pageSetup scale="87" orientation="landscape" horizontalDpi="4294967295" verticalDpi="4294967295" r:id="rId1"/>
  <rowBreaks count="1" manualBreakCount="1">
    <brk id="34" max="16383" man="1"/>
  </row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73"/>
  <sheetViews>
    <sheetView topLeftCell="A6" workbookViewId="0">
      <selection activeCell="C2" sqref="C2:C11"/>
    </sheetView>
  </sheetViews>
  <sheetFormatPr defaultRowHeight="15" x14ac:dyDescent="0.25"/>
  <cols>
    <col min="1" max="1" width="10.140625" bestFit="1" customWidth="1"/>
    <col min="2" max="3" width="9.140625" style="137"/>
  </cols>
  <sheetData>
    <row r="1" spans="1:3" ht="15.75" thickBot="1" x14ac:dyDescent="0.3"/>
    <row r="2" spans="1:3" ht="43.5" thickBot="1" x14ac:dyDescent="0.3">
      <c r="A2" s="142" t="s">
        <v>417</v>
      </c>
      <c r="B2" s="143">
        <v>1751386</v>
      </c>
      <c r="C2" s="137">
        <f>B2/B12%</f>
        <v>7.3830138737188493</v>
      </c>
    </row>
    <row r="3" spans="1:3" ht="43.5" thickBot="1" x14ac:dyDescent="0.3">
      <c r="A3" s="142" t="s">
        <v>418</v>
      </c>
      <c r="B3" s="144">
        <v>2372183</v>
      </c>
      <c r="C3" s="137">
        <f>B3/$B$12%</f>
        <v>10</v>
      </c>
    </row>
    <row r="4" spans="1:3" ht="43.5" thickBot="1" x14ac:dyDescent="0.3">
      <c r="A4" s="142" t="s">
        <v>419</v>
      </c>
      <c r="B4" s="144">
        <v>3558274</v>
      </c>
      <c r="C4" s="137">
        <f t="shared" ref="C4:C11" si="0">B4/$B$12%</f>
        <v>14.999997892236815</v>
      </c>
    </row>
    <row r="5" spans="1:3" ht="72" thickBot="1" x14ac:dyDescent="0.3">
      <c r="A5" s="142" t="s">
        <v>420</v>
      </c>
      <c r="B5" s="144">
        <v>1167591</v>
      </c>
      <c r="C5" s="137">
        <f t="shared" si="0"/>
        <v>4.9220106543213573</v>
      </c>
    </row>
    <row r="6" spans="1:3" ht="57.75" thickBot="1" x14ac:dyDescent="0.3">
      <c r="A6" s="142" t="s">
        <v>421</v>
      </c>
      <c r="B6" s="144">
        <v>3783193</v>
      </c>
      <c r="C6" s="137">
        <f t="shared" si="0"/>
        <v>15.948149868707432</v>
      </c>
    </row>
    <row r="7" spans="1:3" ht="43.5" thickBot="1" x14ac:dyDescent="0.3">
      <c r="A7" s="142" t="s">
        <v>422</v>
      </c>
      <c r="B7" s="144">
        <v>2010848</v>
      </c>
      <c r="C7" s="137">
        <f t="shared" si="0"/>
        <v>8.4767827777199312</v>
      </c>
    </row>
    <row r="8" spans="1:3" ht="57.75" thickBot="1" x14ac:dyDescent="0.3">
      <c r="A8" s="142" t="s">
        <v>423</v>
      </c>
      <c r="B8" s="144">
        <v>2040407</v>
      </c>
      <c r="C8" s="137">
        <f t="shared" si="0"/>
        <v>8.6013895218033358</v>
      </c>
    </row>
    <row r="9" spans="1:3" ht="43.5" thickBot="1" x14ac:dyDescent="0.3">
      <c r="A9" s="142" t="s">
        <v>424</v>
      </c>
      <c r="B9" s="144">
        <v>1932247</v>
      </c>
      <c r="C9" s="137">
        <f t="shared" si="0"/>
        <v>8.1454381892122161</v>
      </c>
    </row>
    <row r="10" spans="1:3" ht="43.5" thickBot="1" x14ac:dyDescent="0.3">
      <c r="A10" s="142" t="s">
        <v>425</v>
      </c>
      <c r="B10" s="144">
        <v>2605701</v>
      </c>
      <c r="C10" s="137">
        <f t="shared" si="0"/>
        <v>10.984401287758997</v>
      </c>
    </row>
    <row r="11" spans="1:3" ht="43.5" thickBot="1" x14ac:dyDescent="0.3">
      <c r="A11" s="142" t="s">
        <v>426</v>
      </c>
      <c r="B11" s="144">
        <v>2500000</v>
      </c>
      <c r="C11" s="137">
        <f t="shared" si="0"/>
        <v>10.538815934521072</v>
      </c>
    </row>
    <row r="12" spans="1:3" ht="15.75" thickBot="1" x14ac:dyDescent="0.3">
      <c r="A12" s="145" t="s">
        <v>123</v>
      </c>
      <c r="B12" s="146">
        <v>23721830</v>
      </c>
    </row>
    <row r="13" spans="1:3" x14ac:dyDescent="0.25">
      <c r="A13" s="136"/>
    </row>
    <row r="14" spans="1:3" x14ac:dyDescent="0.25">
      <c r="A14" s="136"/>
    </row>
    <row r="15" spans="1:3" x14ac:dyDescent="0.25">
      <c r="A15" s="136"/>
    </row>
    <row r="16" spans="1:3" x14ac:dyDescent="0.25">
      <c r="A16" s="136"/>
    </row>
    <row r="17" spans="1:1" x14ac:dyDescent="0.25">
      <c r="A17" s="136"/>
    </row>
    <row r="18" spans="1:1" x14ac:dyDescent="0.25">
      <c r="A18" s="136"/>
    </row>
    <row r="19" spans="1:1" x14ac:dyDescent="0.25">
      <c r="A19" s="136"/>
    </row>
    <row r="20" spans="1:1" x14ac:dyDescent="0.25">
      <c r="A20" s="136"/>
    </row>
    <row r="21" spans="1:1" x14ac:dyDescent="0.25">
      <c r="A21" s="136"/>
    </row>
    <row r="22" spans="1:1" x14ac:dyDescent="0.25">
      <c r="A22" s="136"/>
    </row>
    <row r="23" spans="1:1" x14ac:dyDescent="0.25">
      <c r="A23" s="136"/>
    </row>
    <row r="24" spans="1:1" x14ac:dyDescent="0.25">
      <c r="A24" s="136"/>
    </row>
    <row r="25" spans="1:1" x14ac:dyDescent="0.25">
      <c r="A25" s="136"/>
    </row>
    <row r="26" spans="1:1" x14ac:dyDescent="0.25">
      <c r="A26" s="136"/>
    </row>
    <row r="27" spans="1:1" x14ac:dyDescent="0.25">
      <c r="A27" s="136"/>
    </row>
    <row r="28" spans="1:1" x14ac:dyDescent="0.25">
      <c r="A28" s="136"/>
    </row>
    <row r="29" spans="1:1" x14ac:dyDescent="0.25">
      <c r="A29" s="136"/>
    </row>
    <row r="30" spans="1:1" x14ac:dyDescent="0.25">
      <c r="A30" s="136"/>
    </row>
    <row r="31" spans="1:1" x14ac:dyDescent="0.25">
      <c r="A31" s="136"/>
    </row>
    <row r="32" spans="1:1" x14ac:dyDescent="0.25">
      <c r="A32" s="136"/>
    </row>
    <row r="33" spans="1:1" x14ac:dyDescent="0.25">
      <c r="A33" s="136"/>
    </row>
    <row r="34" spans="1:1" x14ac:dyDescent="0.25">
      <c r="A34" s="136"/>
    </row>
    <row r="35" spans="1:1" x14ac:dyDescent="0.25">
      <c r="A35" s="136"/>
    </row>
    <row r="36" spans="1:1" x14ac:dyDescent="0.25">
      <c r="A36" s="136"/>
    </row>
    <row r="37" spans="1:1" x14ac:dyDescent="0.25">
      <c r="A37" s="136"/>
    </row>
    <row r="38" spans="1:1" x14ac:dyDescent="0.25">
      <c r="A38" s="136"/>
    </row>
    <row r="39" spans="1:1" x14ac:dyDescent="0.25">
      <c r="A39" s="136"/>
    </row>
    <row r="40" spans="1:1" x14ac:dyDescent="0.25">
      <c r="A40" s="136"/>
    </row>
    <row r="41" spans="1:1" x14ac:dyDescent="0.25">
      <c r="A41" s="136"/>
    </row>
    <row r="42" spans="1:1" x14ac:dyDescent="0.25">
      <c r="A42" s="136"/>
    </row>
    <row r="43" spans="1:1" x14ac:dyDescent="0.25">
      <c r="A43" s="136"/>
    </row>
    <row r="44" spans="1:1" x14ac:dyDescent="0.25">
      <c r="A44" s="136"/>
    </row>
    <row r="45" spans="1:1" x14ac:dyDescent="0.25">
      <c r="A45" s="136"/>
    </row>
    <row r="46" spans="1:1" x14ac:dyDescent="0.25">
      <c r="A46" s="136"/>
    </row>
    <row r="47" spans="1:1" x14ac:dyDescent="0.25">
      <c r="A47" s="136"/>
    </row>
    <row r="48" spans="1:1" x14ac:dyDescent="0.25">
      <c r="A48" s="136"/>
    </row>
    <row r="49" spans="1:1" x14ac:dyDescent="0.25">
      <c r="A49" s="136"/>
    </row>
    <row r="50" spans="1:1" x14ac:dyDescent="0.25">
      <c r="A50" s="136"/>
    </row>
    <row r="51" spans="1:1" x14ac:dyDescent="0.25">
      <c r="A51" s="136"/>
    </row>
    <row r="52" spans="1:1" x14ac:dyDescent="0.25">
      <c r="A52" s="136"/>
    </row>
    <row r="53" spans="1:1" x14ac:dyDescent="0.25">
      <c r="A53" s="136"/>
    </row>
    <row r="54" spans="1:1" x14ac:dyDescent="0.25">
      <c r="A54" s="136"/>
    </row>
    <row r="55" spans="1:1" x14ac:dyDescent="0.25">
      <c r="A55" s="136"/>
    </row>
    <row r="56" spans="1:1" x14ac:dyDescent="0.25">
      <c r="A56" s="136"/>
    </row>
    <row r="57" spans="1:1" x14ac:dyDescent="0.25">
      <c r="A57" s="136"/>
    </row>
    <row r="58" spans="1:1" x14ac:dyDescent="0.25">
      <c r="A58" s="136"/>
    </row>
    <row r="59" spans="1:1" x14ac:dyDescent="0.25">
      <c r="A59" s="136"/>
    </row>
    <row r="60" spans="1:1" x14ac:dyDescent="0.25">
      <c r="A60" s="136"/>
    </row>
    <row r="61" spans="1:1" x14ac:dyDescent="0.25">
      <c r="A61" s="136"/>
    </row>
    <row r="62" spans="1:1" x14ac:dyDescent="0.25">
      <c r="A62" s="136"/>
    </row>
    <row r="63" spans="1:1" x14ac:dyDescent="0.25">
      <c r="A63" s="136"/>
    </row>
    <row r="64" spans="1:1" x14ac:dyDescent="0.25">
      <c r="A64" s="136"/>
    </row>
    <row r="65" spans="1:1" x14ac:dyDescent="0.25">
      <c r="A65" s="136"/>
    </row>
    <row r="66" spans="1:1" x14ac:dyDescent="0.25">
      <c r="A66" s="136"/>
    </row>
    <row r="67" spans="1:1" x14ac:dyDescent="0.25">
      <c r="A67" s="136"/>
    </row>
    <row r="68" spans="1:1" x14ac:dyDescent="0.25">
      <c r="A68" s="136"/>
    </row>
    <row r="69" spans="1:1" x14ac:dyDescent="0.25">
      <c r="A69" s="136"/>
    </row>
    <row r="70" spans="1:1" x14ac:dyDescent="0.25">
      <c r="A70" s="136"/>
    </row>
    <row r="71" spans="1:1" x14ac:dyDescent="0.25">
      <c r="A71" s="136"/>
    </row>
    <row r="72" spans="1:1" x14ac:dyDescent="0.25">
      <c r="A72" s="136"/>
    </row>
    <row r="73" spans="1:1" x14ac:dyDescent="0.25">
      <c r="A73" s="13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67702-9293-4DFE-BB46-C5842349B37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8</vt:i4>
      </vt:variant>
    </vt:vector>
  </HeadingPairs>
  <TitlesOfParts>
    <vt:vector size="20" baseType="lpstr">
      <vt:lpstr>Data Input</vt:lpstr>
      <vt:lpstr>Sheet3</vt:lpstr>
      <vt:lpstr>MPBF</vt:lpstr>
      <vt:lpstr>BSA</vt:lpstr>
      <vt:lpstr>7A</vt:lpstr>
      <vt:lpstr>COP-MOF</vt:lpstr>
      <vt:lpstr>DSCR &amp; IRR</vt:lpstr>
      <vt:lpstr>BEP</vt:lpstr>
      <vt:lpstr>Sensitivity</vt:lpstr>
      <vt:lpstr>Tax Calulator - Ref</vt:lpstr>
      <vt:lpstr>Sheet1</vt:lpstr>
      <vt:lpstr>Sheet2</vt:lpstr>
      <vt:lpstr>'7A'!_ftn1</vt:lpstr>
      <vt:lpstr>BSA!Print_Area</vt:lpstr>
      <vt:lpstr>'COP-MOF'!Print_Area</vt:lpstr>
      <vt:lpstr>'Data Input'!Print_Area</vt:lpstr>
      <vt:lpstr>'DSCR &amp; IRR'!Print_Area</vt:lpstr>
      <vt:lpstr>BSA!Print_Titles</vt:lpstr>
      <vt:lpstr>'Data Input'!Print_Titles</vt:lpstr>
      <vt:lpstr>'DSCR &amp; IRR'!Print_Titles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2025-12-18T05:52:45Z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d5c4f4-7a29-4385-b7a5-afbe2154ae6f_Enabled">
    <vt:lpwstr>true</vt:lpwstr>
  </property>
  <property fmtid="{D5CDD505-2E9C-101B-9397-08002B2CF9AE}" pid="3" name="MSIP_Label_b0d5c4f4-7a29-4385-b7a5-afbe2154ae6f_SetDate">
    <vt:lpwstr>2025-12-16T09:28:49Z</vt:lpwstr>
  </property>
  <property fmtid="{D5CDD505-2E9C-101B-9397-08002B2CF9AE}" pid="4" name="MSIP_Label_b0d5c4f4-7a29-4385-b7a5-afbe2154ae6f_Method">
    <vt:lpwstr>Standard</vt:lpwstr>
  </property>
  <property fmtid="{D5CDD505-2E9C-101B-9397-08002B2CF9AE}" pid="5" name="MSIP_Label_b0d5c4f4-7a29-4385-b7a5-afbe2154ae6f_Name">
    <vt:lpwstr>Confidential</vt:lpwstr>
  </property>
  <property fmtid="{D5CDD505-2E9C-101B-9397-08002B2CF9AE}" pid="6" name="MSIP_Label_b0d5c4f4-7a29-4385-b7a5-afbe2154ae6f_SiteId">
    <vt:lpwstr>2dfb2f0b-4d21-4268-9559-72926144c918</vt:lpwstr>
  </property>
  <property fmtid="{D5CDD505-2E9C-101B-9397-08002B2CF9AE}" pid="7" name="MSIP_Label_b0d5c4f4-7a29-4385-b7a5-afbe2154ae6f_ActionId">
    <vt:lpwstr>d2a6f6f5-c6dd-4afd-9b56-3430e283ef98</vt:lpwstr>
  </property>
  <property fmtid="{D5CDD505-2E9C-101B-9397-08002B2CF9AE}" pid="8" name="MSIP_Label_b0d5c4f4-7a29-4385-b7a5-afbe2154ae6f_ContentBits">
    <vt:lpwstr>0</vt:lpwstr>
  </property>
  <property fmtid="{D5CDD505-2E9C-101B-9397-08002B2CF9AE}" pid="9" name="MSIP_Label_b0d5c4f4-7a29-4385-b7a5-afbe2154ae6f_Tag">
    <vt:lpwstr>10, 3, 0, 1</vt:lpwstr>
  </property>
</Properties>
</file>